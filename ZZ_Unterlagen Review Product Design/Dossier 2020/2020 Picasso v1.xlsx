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\\ifc1.ifr.intra2.admin.ch\Shares\Organisation\MIL-INFBAT56-INFKP3-KDT\_Bf Dossier\2020\"/>
    </mc:Choice>
  </mc:AlternateContent>
  <bookViews>
    <workbookView xWindow="-285" yWindow="3675" windowWidth="15150" windowHeight="7410" tabRatio="451" activeTab="1"/>
  </bookViews>
  <sheets>
    <sheet name="KVK_56_3" sheetId="320" r:id="rId1"/>
    <sheet name="W1_56_3" sheetId="323" r:id="rId2"/>
    <sheet name="W2_56_3" sheetId="324" r:id="rId3"/>
    <sheet name="W3_56_3" sheetId="325" r:id="rId4"/>
    <sheet name="Bausteine" sheetId="318" r:id="rId5"/>
  </sheets>
  <definedNames>
    <definedName name="Print_Area" localSheetId="4">Bausteine!$A$2:$CO$96</definedName>
    <definedName name="Print_Area" localSheetId="0">KVK_56_3!$A$2:$CO$96</definedName>
    <definedName name="Print_Area" localSheetId="1">W1_56_3!$A$2:$CO$96</definedName>
    <definedName name="Print_Area" localSheetId="2">W2_56_3!$A$2:$CO$96</definedName>
    <definedName name="Print_Area" localSheetId="3">W3_56_3!$A$2:$CO$96</definedName>
  </definedNames>
  <calcPr calcId="162913"/>
</workbook>
</file>

<file path=xl/calcChain.xml><?xml version="1.0" encoding="utf-8"?>
<calcChain xmlns="http://schemas.openxmlformats.org/spreadsheetml/2006/main">
  <c r="BU43" i="323" l="1"/>
  <c r="BU43" i="325" l="1"/>
  <c r="BU6" i="325"/>
  <c r="BG6" i="325"/>
  <c r="AS6" i="325"/>
  <c r="AE6" i="325"/>
  <c r="Q6" i="325"/>
  <c r="C6" i="325"/>
  <c r="AC3" i="325"/>
  <c r="CN2" i="325"/>
  <c r="BU43" i="324"/>
  <c r="BU6" i="324"/>
  <c r="BG6" i="324"/>
  <c r="AS6" i="324"/>
  <c r="AE6" i="324"/>
  <c r="Q6" i="324"/>
  <c r="C6" i="324"/>
  <c r="AC3" i="324"/>
  <c r="CN2" i="324"/>
  <c r="BU6" i="323"/>
  <c r="BG6" i="323"/>
  <c r="AS6" i="323"/>
  <c r="AE6" i="323"/>
  <c r="Q6" i="323"/>
  <c r="C6" i="323"/>
  <c r="AC3" i="323"/>
  <c r="CN2" i="323"/>
  <c r="CN2" i="318" l="1"/>
  <c r="AC3" i="318" l="1"/>
  <c r="BU43" i="320" l="1"/>
  <c r="BU6" i="320"/>
  <c r="BG6" i="320"/>
  <c r="AS6" i="320"/>
  <c r="AE6" i="320"/>
  <c r="Q6" i="320"/>
  <c r="C6" i="320"/>
  <c r="AC3" i="320"/>
  <c r="CN2" i="320"/>
</calcChain>
</file>

<file path=xl/sharedStrings.xml><?xml version="1.0" encoding="utf-8"?>
<sst xmlns="http://schemas.openxmlformats.org/spreadsheetml/2006/main" count="841" uniqueCount="227">
  <si>
    <t>H</t>
  </si>
  <si>
    <t>Divers</t>
  </si>
  <si>
    <t>Pers</t>
  </si>
  <si>
    <t>ARMEE SUISSE</t>
  </si>
  <si>
    <t>RI = rap instr chef sct-sof (partie pratique)</t>
  </si>
  <si>
    <t>2013 Colombier</t>
  </si>
  <si>
    <t>ROI = rap officier instructeur (IU + cdt U)</t>
  </si>
  <si>
    <t>RINSTR = rap d'instruction (IU + cdt cp + chf sct)</t>
  </si>
  <si>
    <t>ORDINE</t>
  </si>
  <si>
    <t xml:space="preserve"> </t>
  </si>
  <si>
    <t>0900</t>
  </si>
  <si>
    <t>Wöchentliche Mdg über Mat-Verluste / Wöchentliche Mdg Mun</t>
  </si>
  <si>
    <t>Kp Kdt</t>
  </si>
  <si>
    <t>C Dienste</t>
  </si>
  <si>
    <t>Rapport Zustand Fz</t>
  </si>
  <si>
    <t>C V+T</t>
  </si>
  <si>
    <t>0700</t>
  </si>
  <si>
    <t>0800</t>
  </si>
  <si>
    <t>Liste Fz-Nummern Sdt/Kader</t>
  </si>
  <si>
    <t>Adj Wpl</t>
  </si>
  <si>
    <t>Bestandeskontrolle</t>
  </si>
  <si>
    <t>Meldung Zugsbenutzung</t>
  </si>
  <si>
    <t>Einh Four</t>
  </si>
  <si>
    <t>Qm RS</t>
  </si>
  <si>
    <t>Meldung Tn Nacharbeit Samstag Morgen</t>
  </si>
  <si>
    <t>Kdt RS</t>
  </si>
  <si>
    <t>RETEX Zfhr</t>
  </si>
  <si>
    <t>Ukft CASTELS</t>
  </si>
  <si>
    <t>Kdo Zug</t>
  </si>
  <si>
    <t>Fhr St Zug</t>
  </si>
  <si>
    <t>UEM Zug</t>
  </si>
  <si>
    <t>Inf Zug</t>
  </si>
  <si>
    <t>Aukl Zug</t>
  </si>
  <si>
    <t>Montag</t>
  </si>
  <si>
    <t>Kalenderwoche</t>
  </si>
  <si>
    <t>vom</t>
  </si>
  <si>
    <t>bis</t>
  </si>
  <si>
    <t>Mittwoch</t>
  </si>
  <si>
    <t>Zeit</t>
  </si>
  <si>
    <t>Donnerstag</t>
  </si>
  <si>
    <t>Freitag</t>
  </si>
  <si>
    <t>Samstag</t>
  </si>
  <si>
    <t>Sonntag</t>
  </si>
  <si>
    <t>Wochenthemen</t>
  </si>
  <si>
    <t>Allgemeines:</t>
  </si>
  <si>
    <t>Nr</t>
  </si>
  <si>
    <t>Ereignis</t>
  </si>
  <si>
    <t>Ort</t>
  </si>
  <si>
    <t>Verantw</t>
  </si>
  <si>
    <t>Vrwtl</t>
  </si>
  <si>
    <t>Legende:</t>
  </si>
  <si>
    <t>SR = Schulrapport</t>
  </si>
  <si>
    <t>DR RS = Dienstrapport RS</t>
  </si>
  <si>
    <t xml:space="preserve">TR = Teamrapport </t>
  </si>
  <si>
    <t>KR = Kompanierapport</t>
  </si>
  <si>
    <t>DR = Dienstrapport</t>
  </si>
  <si>
    <t>ID = Innererdienst</t>
  </si>
  <si>
    <t>ABV = Abendverlesen</t>
  </si>
  <si>
    <t>Termine Admin</t>
  </si>
  <si>
    <t>Tages Of</t>
  </si>
  <si>
    <t>Wachtdienst</t>
  </si>
  <si>
    <t>Pikettinstruktor: Hptm Maurer Matthias &gt;&gt; 079 777 54 24</t>
  </si>
  <si>
    <t>Inhalt</t>
  </si>
  <si>
    <t>an</t>
  </si>
  <si>
    <t>Unterstellung FU Ristl S 61</t>
  </si>
  <si>
    <t>gem beso Bf</t>
  </si>
  <si>
    <t>EBA z G Inf RS 5</t>
  </si>
  <si>
    <t>Abspr Rap C Regie Bet Ei U</t>
  </si>
  <si>
    <t>Einh Bo</t>
  </si>
  <si>
    <t>Orientierung Bet Ei U, Bat KP MELS</t>
  </si>
  <si>
    <r>
      <rPr>
        <b/>
        <sz val="8"/>
        <rFont val="Arial"/>
        <family val="2"/>
      </rPr>
      <t>Dienstbetrieb</t>
    </r>
    <r>
      <rPr>
        <sz val="8"/>
        <rFont val="Arial"/>
        <family val="2"/>
      </rPr>
      <t xml:space="preserve">
1. Ukft CASTELS bezogen
2. Für Ei U bereit</t>
    </r>
  </si>
  <si>
    <r>
      <rPr>
        <b/>
        <sz val="8"/>
        <rFont val="Arial"/>
        <family val="2"/>
      </rPr>
      <t>Ausbildung:</t>
    </r>
    <r>
      <rPr>
        <sz val="8"/>
        <rFont val="Arial"/>
        <family val="2"/>
      </rPr>
      <t xml:space="preserve">
1. Mekkano Stabskp Stufe Bat
2. SIM PAB</t>
    </r>
  </si>
  <si>
    <t>Ristl Z</t>
  </si>
  <si>
    <t>UEM Zug / 
Fhr Ustü</t>
  </si>
  <si>
    <t>Aufkl Zug</t>
  </si>
  <si>
    <t>Bf Ausgabe U "CASA"</t>
  </si>
  <si>
    <t>Th S CASTELS</t>
  </si>
  <si>
    <r>
      <t xml:space="preserve">LEHRVERBAND INFANTERIE
Infanterie Rekrutenschule 5
Oblt Dominik Kägi
Einheitkommandant Inf VBA 5
Bewilligt
Maj i Gst Nicolas Joly
Einheitsberufsoffizier Inf VBA 5
</t>
    </r>
    <r>
      <rPr>
        <b/>
        <sz val="8.5"/>
        <rFont val="Arial"/>
        <family val="2"/>
      </rPr>
      <t>Geht an</t>
    </r>
    <r>
      <rPr>
        <sz val="8.5"/>
        <rFont val="Arial"/>
        <family val="2"/>
      </rPr>
      <t xml:space="preserve">
BM (Verteiler)
Kader Stabskop (Verteiler + Papier via Kp Kdt)
Truppe (via Anschlag A3)
z K
Kdo Inf RS (gem Verteilerliste Kanzlei)
Externe RS: Wpl, Vpf Z, Krankenabteilung (Verteiler)</t>
    </r>
  </si>
  <si>
    <t>Kadersync U "CASA"</t>
  </si>
  <si>
    <t>W = Wachtwechsel</t>
  </si>
  <si>
    <t>1. U "INIZIO"
2. U "CASA"
3. AVOR DHU</t>
  </si>
  <si>
    <t>Lt Wehren</t>
  </si>
  <si>
    <t>Lt Sikorskiy</t>
  </si>
  <si>
    <t>Lt Gallacher</t>
  </si>
  <si>
    <t>Lt Pittet</t>
  </si>
  <si>
    <t>Lt Coens</t>
  </si>
  <si>
    <t>Lt Hänggeli</t>
  </si>
  <si>
    <t>Lt Hesterberg, Wm Egger</t>
  </si>
  <si>
    <t>Lt Stoller + Uof Aufkl Z</t>
  </si>
  <si>
    <t>ROSSBODEN</t>
  </si>
  <si>
    <t>1600</t>
  </si>
  <si>
    <t>EBA z G Inf RS 5 / ROSSBODEN</t>
  </si>
  <si>
    <t>Kp Kdt Stv</t>
  </si>
  <si>
    <t>Dienstag</t>
  </si>
  <si>
    <t>WK</t>
  </si>
  <si>
    <t>KVK</t>
  </si>
  <si>
    <t>Arbeitsprogramm - Inf Kp 56/3</t>
  </si>
  <si>
    <t>AR 1 - Ausbildungsrapport 1</t>
  </si>
  <si>
    <t>AR 2 - Ausbildungsrapport 2</t>
  </si>
  <si>
    <t>SCHWEIZER ARMEE</t>
  </si>
  <si>
    <t>Stv</t>
  </si>
  <si>
    <t>Ber Of</t>
  </si>
  <si>
    <t>Bat KP</t>
  </si>
  <si>
    <t>Kdt</t>
  </si>
  <si>
    <t>Eraldo.Brugnoli@vtg.admin.ch</t>
  </si>
  <si>
    <t>ID = Innerer Dienst</t>
  </si>
  <si>
    <t>Ein Fw</t>
  </si>
  <si>
    <t>Zfhr</t>
  </si>
  <si>
    <t>Uof</t>
  </si>
  <si>
    <t>Ein Four</t>
  </si>
  <si>
    <t>Einh Fw</t>
  </si>
  <si>
    <t xml:space="preserve">GefU = Gefechtsunterricht </t>
  </si>
  <si>
    <t>GefU = Gefechtsunterricht</t>
  </si>
  <si>
    <t>AV = Antrittsverlesen</t>
  </si>
  <si>
    <t>HV = Hauptverlesen</t>
  </si>
  <si>
    <t>Zug AMBOSS</t>
  </si>
  <si>
    <t>Zug BIVIO</t>
  </si>
  <si>
    <t>Zug CANALE</t>
  </si>
  <si>
    <t>Zug SERVIZIO</t>
  </si>
  <si>
    <t>S4</t>
  </si>
  <si>
    <t>S6</t>
  </si>
  <si>
    <t>1030-1400</t>
  </si>
  <si>
    <t>Korpsvisite</t>
  </si>
  <si>
    <t>Bat</t>
  </si>
  <si>
    <t>Qm</t>
  </si>
  <si>
    <t>Bat Rap - Batallionsrapport</t>
  </si>
  <si>
    <t>Ber Of Bat</t>
  </si>
  <si>
    <t>Four</t>
  </si>
  <si>
    <t>S3</t>
  </si>
  <si>
    <t>Bf = Bf Ausgabe Kdt an höh Kader</t>
  </si>
  <si>
    <t>S1</t>
  </si>
  <si>
    <t>gem Bf</t>
  </si>
  <si>
    <t>Lt Langjahr</t>
  </si>
  <si>
    <t>Lt Koch</t>
  </si>
  <si>
    <t>Lt Fanger</t>
  </si>
  <si>
    <t>Lt Degen</t>
  </si>
  <si>
    <t>Lt Schaulin</t>
  </si>
  <si>
    <t>1400-1700</t>
  </si>
  <si>
    <t>Fw</t>
  </si>
  <si>
    <t>1 Of + Uof aus Rm Zürich</t>
  </si>
  <si>
    <t>Mdg Notfalladressen erfasst, verschlossenes Couvert im KP</t>
  </si>
  <si>
    <t>Mdg nicht eingerückte AdA</t>
  </si>
  <si>
    <t>Übergabe aller kompletten Qualis</t>
  </si>
  <si>
    <t>Qualis eröffnet und unterzeichnet</t>
  </si>
  <si>
    <t>Vorgesetzte</t>
  </si>
  <si>
    <t>Einrücken Of, Uof</t>
  </si>
  <si>
    <t>EGERKINGEN</t>
  </si>
  <si>
    <t>Zürich</t>
  </si>
  <si>
    <t>Kp 56/0</t>
  </si>
  <si>
    <r>
      <t xml:space="preserve">Inf Bat 56
Inf Kp 56/3
Hptm Andri Halter
Kommandant
</t>
    </r>
    <r>
      <rPr>
        <b/>
        <sz val="8.5"/>
        <rFont val="Arial"/>
        <family val="2"/>
      </rPr>
      <t>Geht an</t>
    </r>
    <r>
      <rPr>
        <sz val="8.5"/>
        <rFont val="Arial"/>
        <family val="2"/>
      </rPr>
      <t xml:space="preserve">
Truppe (via Anschlag)
z K
Stab Inf Bat 56
</t>
    </r>
  </si>
  <si>
    <t>1100-1200</t>
  </si>
  <si>
    <t>Log Rap 1: Fw, Four, C VT, weitere gem Bf</t>
  </si>
  <si>
    <t>1900-2000</t>
  </si>
  <si>
    <t>Ber Of Rap: Ber Of Kp</t>
  </si>
  <si>
    <t>Prontoktrl</t>
  </si>
  <si>
    <t>1.  Fassung Unterkunft / Mat / Fz
2.  Kader EBA
3.  AVOR WK Wo 1</t>
  </si>
  <si>
    <r>
      <rPr>
        <b/>
        <sz val="10"/>
        <rFont val="Arial"/>
        <family val="2"/>
      </rPr>
      <t>Dienstbetrieb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1. Ukft bereit für Einrücken Trp, DB geregelt
2. Mat / Fz inkl Mdg reibungslos</t>
    </r>
    <r>
      <rPr>
        <sz val="10"/>
        <rFont val="Arial"/>
        <family val="2"/>
      </rPr>
      <t xml:space="preserve">
</t>
    </r>
  </si>
  <si>
    <r>
      <rPr>
        <b/>
        <sz val="10"/>
        <rFont val="Arial"/>
        <family val="2"/>
      </rPr>
      <t>Ausbildung:</t>
    </r>
    <r>
      <rPr>
        <sz val="10"/>
        <rFont val="Arial"/>
        <family val="2"/>
      </rPr>
      <t xml:space="preserve">
</t>
    </r>
    <r>
      <rPr>
        <sz val="8"/>
        <rFont val="Arial"/>
        <family val="2"/>
      </rPr>
      <t>1.  AR 1 und Plakate für Wo 1 erstellt
2. 100% Kader hat REFRESH 19 absolviert</t>
    </r>
  </si>
  <si>
    <t>Mdg Notfalladressen im MilO erfasst</t>
  </si>
  <si>
    <t>Mdg ÖV</t>
  </si>
  <si>
    <t>Abgabe Göttiliste</t>
  </si>
  <si>
    <t>Mdg Verantwortlicher IS + Archivierung</t>
  </si>
  <si>
    <t>1800</t>
  </si>
  <si>
    <t>Zugbenützungsrap</t>
  </si>
  <si>
    <t>Bis 1200</t>
  </si>
  <si>
    <t>Mdg Gr und Schützen für AWK</t>
  </si>
  <si>
    <t>Alpin Of</t>
  </si>
  <si>
    <t>Meldung  Anwärter  für Assessment</t>
  </si>
  <si>
    <t>Mdg nicht eingerückte AdA und beim Einrücken Entlassene</t>
  </si>
  <si>
    <t>Mdg ÖV Benützung Einrücken</t>
  </si>
  <si>
    <t>Arbeitgeberliste ausgefüllt</t>
  </si>
  <si>
    <t>S1  (share)</t>
  </si>
  <si>
    <t>Kp 3</t>
  </si>
  <si>
    <t>Bat Kdt</t>
  </si>
  <si>
    <t>Abgabe Qualis</t>
  </si>
  <si>
    <t>Mdg Abschluss Archivierung</t>
  </si>
  <si>
    <t>1700-1830</t>
  </si>
  <si>
    <t>Lof Rap 2: Fw, Four, C VT, weitere gem Bf</t>
  </si>
  <si>
    <t>Stao 56/2</t>
  </si>
  <si>
    <t>höh Uof</t>
  </si>
  <si>
    <t>1330-1445</t>
  </si>
  <si>
    <r>
      <rPr>
        <b/>
        <sz val="8"/>
        <rFont val="Arial"/>
        <family val="2"/>
      </rPr>
      <t>Ausbildung:</t>
    </r>
    <r>
      <rPr>
        <sz val="8"/>
        <rFont val="Arial"/>
        <family val="2"/>
      </rPr>
      <t xml:space="preserve">
1.  Mob U: Lessons learnt für 2021
2. 100% Inf EBA abgeschlossen</t>
    </r>
  </si>
  <si>
    <t>FUKO</t>
  </si>
  <si>
    <t xml:space="preserve">Ih Of </t>
  </si>
  <si>
    <t>Kp Stao</t>
  </si>
  <si>
    <t>0900-1130</t>
  </si>
  <si>
    <t>Stao 56/0</t>
  </si>
  <si>
    <t>Ei Zfhr</t>
  </si>
  <si>
    <t>Log Rap 3: Fw, Four, C VT, weitere gem Bf</t>
  </si>
  <si>
    <t>Stao 56/4</t>
  </si>
  <si>
    <t>Emmen</t>
  </si>
  <si>
    <t>U Besprechung mit Bat Kdt</t>
  </si>
  <si>
    <t>1.  CONEX
2.  Dienstrad
3.  EV</t>
  </si>
  <si>
    <r>
      <rPr>
        <b/>
        <sz val="8"/>
        <rFont val="Arial"/>
        <family val="2"/>
      </rPr>
      <t>Dienstbetrieb</t>
    </r>
    <r>
      <rPr>
        <sz val="8"/>
        <rFont val="Arial"/>
        <family val="2"/>
      </rPr>
      <t xml:space="preserve">
1. Dienstbetrieb funktioniert während Ei
2. Vpf 24h garantiert
</t>
    </r>
  </si>
  <si>
    <r>
      <rPr>
        <b/>
        <sz val="8"/>
        <rFont val="Arial"/>
        <family val="2"/>
      </rPr>
      <t>Ausbildung:</t>
    </r>
    <r>
      <rPr>
        <sz val="8"/>
        <rFont val="Arial"/>
        <family val="2"/>
      </rPr>
      <t xml:space="preserve">
keine</t>
    </r>
  </si>
  <si>
    <r>
      <rPr>
        <b/>
        <sz val="8"/>
        <rFont val="Arial"/>
        <family val="2"/>
      </rPr>
      <t>Ausbildung:</t>
    </r>
    <r>
      <rPr>
        <sz val="8"/>
        <rFont val="Arial"/>
        <family val="2"/>
      </rPr>
      <t xml:space="preserve">
1. Jeder Z hat Gef S absolviert
2. 100% Teilnahme an FTA 5</t>
    </r>
  </si>
  <si>
    <r>
      <rPr>
        <b/>
        <sz val="8"/>
        <rFont val="Arial"/>
        <family val="2"/>
      </rPr>
      <t>Dienstbetrieb</t>
    </r>
    <r>
      <rPr>
        <sz val="8"/>
        <rFont val="Arial"/>
        <family val="2"/>
      </rPr>
      <t xml:space="preserve">
1. Wiedereingliederung Z in Härkingen reibungslos
2. WEMA ohne Materialverluste abschliessen
</t>
    </r>
  </si>
  <si>
    <t>1.  Ausbildung Gef S
2.  WEMA</t>
  </si>
  <si>
    <t>Grundmdg Fassung  (Mat, Fz, Infra, Stao, Log Ei Ber)</t>
  </si>
  <si>
    <t>Frontrapport (Stichzeit 1500)</t>
  </si>
  <si>
    <t>Frontrapport (Stichzeit 2200)</t>
  </si>
  <si>
    <t>Kdt / Stv</t>
  </si>
  <si>
    <t>WEMA Rap: Kp Kdt, Fw, Four, Mat C, VT C</t>
  </si>
  <si>
    <t>0800-1200</t>
  </si>
  <si>
    <t>Ausb Kdo Gr</t>
  </si>
  <si>
    <t>Kopie Geheimhaltungserklärung AdA KP</t>
  </si>
  <si>
    <t>Liste POLYCOM  abgeben</t>
  </si>
  <si>
    <t>Abgabe LMS Zertifikate IS (Fw, Four, Büro Ord)</t>
  </si>
  <si>
    <t>Mdg Pocket Cards, Notfallzettel an Kader verteilt</t>
  </si>
  <si>
    <t>Zug DIMITRI</t>
  </si>
  <si>
    <t>Mdg Fortschritt Ausb</t>
  </si>
  <si>
    <t>Mdg Stao Ausb POLYCOM</t>
  </si>
  <si>
    <t xml:space="preserve">Mdg Zeitpunkte AR 1 + 2 </t>
  </si>
  <si>
    <r>
      <rPr>
        <b/>
        <sz val="8"/>
        <rFont val="Arial"/>
        <family val="2"/>
      </rPr>
      <t>Dienstbetrieb</t>
    </r>
    <r>
      <rPr>
        <sz val="8"/>
        <rFont val="Arial"/>
        <family val="2"/>
      </rPr>
      <t xml:space="preserve">
1. Zimmerordnung gem Vorgaben Fw
2. Umzug Therwil reibungslos
</t>
    </r>
  </si>
  <si>
    <t>Fasg Ukft</t>
  </si>
  <si>
    <t>Härkingen</t>
  </si>
  <si>
    <t>0830</t>
  </si>
  <si>
    <t>Erkundung Spl</t>
  </si>
  <si>
    <t>Schmidenmatt</t>
  </si>
  <si>
    <t>Gehren</t>
  </si>
  <si>
    <t>Wache Ukft bereit</t>
  </si>
  <si>
    <t>0730-1200</t>
  </si>
  <si>
    <t>Fsg Ukft, Aufzug Wache</t>
  </si>
  <si>
    <t>Therwil</t>
  </si>
  <si>
    <t>Beginn CONEX</t>
  </si>
  <si>
    <t>1.  Mob U
2.  EBA
3.  AVOR CONEX</t>
  </si>
  <si>
    <t>Baselland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</si>
</sst>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"/>
    <numFmt numFmtId="165" formatCode="dd\.mm\.yyyy;@"/>
    <numFmt numFmtId="166" formatCode="&quot;PC, &quot;dd/mm/yyyy"/>
  </numFmts>
  <fonts count="3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7"/>
      <color theme="0"/>
      <name val="Arial"/>
      <family val="2"/>
    </font>
    <font>
      <sz val="7"/>
      <color rgb="FFFF0000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</font>
    <font>
      <b/>
      <sz val="14"/>
      <name val="Arial"/>
      <family val="2"/>
    </font>
    <font>
      <b/>
      <sz val="7"/>
      <color rgb="FFFF0000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6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u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9" fillId="0" borderId="0"/>
    <xf numFmtId="0" fontId="2" fillId="0" borderId="0"/>
    <xf numFmtId="0" fontId="2" fillId="0" borderId="0"/>
  </cellStyleXfs>
  <cellXfs count="345">
    <xf numFmtId="0" fontId="0" fillId="0" borderId="0" xfId="0"/>
    <xf numFmtId="0" fontId="0" fillId="0" borderId="0" xfId="0" applyProtection="1"/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1" fillId="0" borderId="12" xfId="0" applyFont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alignment horizontal="center"/>
      <protection locked="0"/>
    </xf>
    <xf numFmtId="0" fontId="5" fillId="0" borderId="8" xfId="0" applyFont="1" applyBorder="1" applyAlignment="1" applyProtection="1">
      <protection locked="0"/>
    </xf>
    <xf numFmtId="0" fontId="5" fillId="0" borderId="20" xfId="0" applyFont="1" applyBorder="1" applyAlignment="1" applyProtection="1">
      <protection locked="0"/>
    </xf>
    <xf numFmtId="0" fontId="1" fillId="0" borderId="22" xfId="0" applyFont="1" applyBorder="1" applyAlignment="1" applyProtection="1">
      <alignment horizontal="center"/>
      <protection locked="0"/>
    </xf>
    <xf numFmtId="0" fontId="1" fillId="0" borderId="13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protection locked="0"/>
    </xf>
    <xf numFmtId="0" fontId="2" fillId="0" borderId="11" xfId="0" applyFont="1" applyBorder="1" applyAlignment="1" applyProtection="1"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30" xfId="0" applyFont="1" applyBorder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7" fillId="0" borderId="0" xfId="0" applyFont="1" applyProtection="1"/>
    <xf numFmtId="49" fontId="6" fillId="0" borderId="0" xfId="2" applyNumberFormat="1" applyFont="1" applyFill="1" applyBorder="1" applyAlignment="1">
      <alignment vertical="center"/>
    </xf>
    <xf numFmtId="49" fontId="6" fillId="0" borderId="0" xfId="1" applyNumberFormat="1" applyFont="1" applyBorder="1" applyAlignment="1">
      <alignment vertical="center"/>
    </xf>
    <xf numFmtId="0" fontId="6" fillId="0" borderId="0" xfId="1" applyFont="1" applyBorder="1" applyAlignment="1">
      <alignment vertical="center"/>
    </xf>
    <xf numFmtId="0" fontId="6" fillId="0" borderId="0" xfId="2" applyFont="1" applyFill="1" applyBorder="1" applyAlignment="1">
      <alignment vertical="center"/>
    </xf>
    <xf numFmtId="0" fontId="6" fillId="0" borderId="0" xfId="0" applyFont="1" applyProtection="1"/>
    <xf numFmtId="164" fontId="6" fillId="3" borderId="5" xfId="0" applyNumberFormat="1" applyFont="1" applyFill="1" applyBorder="1" applyAlignment="1" applyProtection="1">
      <alignment horizontal="center" vertical="center"/>
      <protection locked="0"/>
    </xf>
    <xf numFmtId="164" fontId="10" fillId="3" borderId="1" xfId="0" applyNumberFormat="1" applyFont="1" applyFill="1" applyBorder="1" applyAlignment="1" applyProtection="1">
      <alignment horizontal="center"/>
    </xf>
    <xf numFmtId="0" fontId="0" fillId="0" borderId="0" xfId="0" applyAlignment="1" applyProtection="1"/>
    <xf numFmtId="0" fontId="1" fillId="0" borderId="0" xfId="0" applyFont="1" applyAlignment="1" applyProtection="1"/>
    <xf numFmtId="0" fontId="8" fillId="2" borderId="23" xfId="0" applyFont="1" applyFill="1" applyBorder="1" applyAlignment="1" applyProtection="1">
      <alignment horizontal="center" textRotation="90"/>
      <protection locked="0"/>
    </xf>
    <xf numFmtId="164" fontId="10" fillId="2" borderId="1" xfId="0" applyNumberFormat="1" applyFont="1" applyFill="1" applyBorder="1" applyAlignment="1" applyProtection="1">
      <alignment horizontal="center"/>
    </xf>
    <xf numFmtId="164" fontId="8" fillId="2" borderId="2" xfId="0" applyNumberFormat="1" applyFont="1" applyFill="1" applyBorder="1" applyAlignment="1" applyProtection="1">
      <alignment horizontal="center" vertical="center" wrapText="1"/>
    </xf>
    <xf numFmtId="0" fontId="13" fillId="2" borderId="2" xfId="1" applyFont="1" applyFill="1" applyBorder="1" applyAlignment="1">
      <alignment horizontal="center" vertical="center" textRotation="90"/>
    </xf>
    <xf numFmtId="164" fontId="10" fillId="2" borderId="2" xfId="0" applyNumberFormat="1" applyFont="1" applyFill="1" applyBorder="1" applyAlignment="1" applyProtection="1">
      <alignment horizontal="center" vertical="center" textRotation="90" wrapText="1"/>
    </xf>
    <xf numFmtId="164" fontId="10" fillId="2" borderId="28" xfId="0" applyNumberFormat="1" applyFont="1" applyFill="1" applyBorder="1" applyAlignment="1" applyProtection="1">
      <alignment horizontal="center" vertical="center" textRotation="90" wrapText="1"/>
    </xf>
    <xf numFmtId="0" fontId="14" fillId="2" borderId="0" xfId="0" applyFont="1" applyFill="1" applyBorder="1" applyAlignment="1" applyProtection="1">
      <alignment horizontal="center" vertical="center"/>
      <protection locked="0"/>
    </xf>
    <xf numFmtId="0" fontId="6" fillId="2" borderId="2" xfId="3" applyFont="1" applyFill="1" applyBorder="1" applyAlignment="1" applyProtection="1">
      <alignment horizontal="left" vertical="center" wrapText="1"/>
      <protection locked="0"/>
    </xf>
    <xf numFmtId="0" fontId="6" fillId="2" borderId="28" xfId="3" applyFont="1" applyFill="1" applyBorder="1" applyAlignment="1" applyProtection="1">
      <alignment horizontal="left" vertical="center" wrapText="1"/>
      <protection locked="0"/>
    </xf>
    <xf numFmtId="164" fontId="8" fillId="2" borderId="4" xfId="0" applyNumberFormat="1" applyFont="1" applyFill="1" applyBorder="1" applyAlignment="1" applyProtection="1">
      <alignment horizontal="center" vertical="center" wrapText="1"/>
    </xf>
    <xf numFmtId="164" fontId="8" fillId="2" borderId="0" xfId="0" applyNumberFormat="1" applyFont="1" applyFill="1" applyBorder="1" applyAlignment="1" applyProtection="1">
      <alignment horizontal="center" vertical="center" wrapText="1"/>
    </xf>
    <xf numFmtId="164" fontId="6" fillId="2" borderId="0" xfId="0" applyNumberFormat="1" applyFont="1" applyFill="1" applyBorder="1" applyProtection="1">
      <protection locked="0"/>
    </xf>
    <xf numFmtId="0" fontId="13" fillId="2" borderId="0" xfId="1" applyFont="1" applyFill="1" applyBorder="1" applyAlignment="1">
      <alignment horizontal="center" vertical="center" textRotation="90"/>
    </xf>
    <xf numFmtId="164" fontId="10" fillId="2" borderId="0" xfId="0" applyNumberFormat="1" applyFont="1" applyFill="1" applyBorder="1" applyAlignment="1" applyProtection="1">
      <alignment horizontal="center" vertical="center" textRotation="90" wrapText="1"/>
    </xf>
    <xf numFmtId="164" fontId="10" fillId="2" borderId="6" xfId="0" applyNumberFormat="1" applyFont="1" applyFill="1" applyBorder="1" applyAlignment="1" applyProtection="1">
      <alignment horizontal="center" vertical="center" textRotation="90" wrapText="1"/>
    </xf>
    <xf numFmtId="0" fontId="0" fillId="0" borderId="0" xfId="0" applyBorder="1" applyProtection="1"/>
    <xf numFmtId="0" fontId="1" fillId="2" borderId="0" xfId="0" applyFont="1" applyFill="1" applyBorder="1" applyAlignment="1" applyProtection="1">
      <alignment horizontal="left"/>
      <protection locked="0"/>
    </xf>
    <xf numFmtId="0" fontId="10" fillId="2" borderId="27" xfId="0" applyFont="1" applyFill="1" applyBorder="1" applyAlignment="1" applyProtection="1">
      <alignment vertical="center"/>
      <protection locked="0"/>
    </xf>
    <xf numFmtId="0" fontId="10" fillId="2" borderId="25" xfId="0" applyFont="1" applyFill="1" applyBorder="1" applyAlignment="1" applyProtection="1">
      <alignment vertical="center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protection locked="0"/>
    </xf>
    <xf numFmtId="0" fontId="12" fillId="2" borderId="27" xfId="0" applyFont="1" applyFill="1" applyBorder="1" applyAlignment="1" applyProtection="1">
      <alignment vertical="center"/>
      <protection locked="0"/>
    </xf>
    <xf numFmtId="0" fontId="12" fillId="2" borderId="0" xfId="0" applyFont="1" applyFill="1" applyBorder="1" applyAlignment="1" applyProtection="1">
      <alignment horizontal="left" vertical="center"/>
      <protection locked="0"/>
    </xf>
    <xf numFmtId="0" fontId="8" fillId="2" borderId="6" xfId="0" applyFont="1" applyFill="1" applyBorder="1" applyAlignment="1" applyProtection="1">
      <alignment vertical="center"/>
      <protection locked="0"/>
    </xf>
    <xf numFmtId="164" fontId="6" fillId="3" borderId="4" xfId="0" applyNumberFormat="1" applyFont="1" applyFill="1" applyBorder="1" applyProtection="1">
      <protection locked="0"/>
    </xf>
    <xf numFmtId="0" fontId="0" fillId="2" borderId="2" xfId="0" applyFill="1" applyBorder="1" applyAlignment="1" applyProtection="1">
      <alignment horizontal="center"/>
    </xf>
    <xf numFmtId="0" fontId="0" fillId="0" borderId="27" xfId="0" applyBorder="1" applyProtection="1"/>
    <xf numFmtId="0" fontId="1" fillId="2" borderId="27" xfId="0" applyFont="1" applyFill="1" applyBorder="1" applyAlignment="1" applyProtection="1">
      <alignment horizontal="left"/>
      <protection locked="0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14" fontId="21" fillId="2" borderId="0" xfId="0" applyNumberFormat="1" applyFont="1" applyFill="1" applyBorder="1" applyAlignment="1" applyProtection="1">
      <alignment vertical="center"/>
    </xf>
    <xf numFmtId="0" fontId="20" fillId="2" borderId="0" xfId="0" applyFont="1" applyFill="1" applyBorder="1" applyAlignment="1" applyProtection="1">
      <alignment horizontal="left"/>
      <protection locked="0"/>
    </xf>
    <xf numFmtId="0" fontId="0" fillId="2" borderId="0" xfId="0" applyFill="1" applyBorder="1" applyAlignment="1" applyProtection="1">
      <alignment horizontal="left"/>
      <protection locked="0"/>
    </xf>
    <xf numFmtId="0" fontId="3" fillId="2" borderId="0" xfId="0" applyFont="1" applyFill="1" applyBorder="1" applyAlignment="1" applyProtection="1">
      <alignment horizontal="left"/>
      <protection locked="0"/>
    </xf>
    <xf numFmtId="0" fontId="0" fillId="2" borderId="0" xfId="0" applyFill="1" applyBorder="1" applyProtection="1"/>
    <xf numFmtId="0" fontId="1" fillId="2" borderId="0" xfId="0" applyFont="1" applyFill="1" applyBorder="1" applyAlignment="1" applyProtection="1">
      <alignment horizontal="left"/>
    </xf>
    <xf numFmtId="0" fontId="0" fillId="2" borderId="0" xfId="0" applyFill="1" applyBorder="1" applyAlignment="1" applyProtection="1">
      <alignment vertical="center"/>
    </xf>
    <xf numFmtId="0" fontId="20" fillId="2" borderId="0" xfId="0" applyFont="1" applyFill="1" applyBorder="1" applyAlignment="1" applyProtection="1">
      <alignment horizontal="left" vertical="center"/>
      <protection locked="0"/>
    </xf>
    <xf numFmtId="14" fontId="21" fillId="2" borderId="0" xfId="0" applyNumberFormat="1" applyFont="1" applyFill="1" applyBorder="1" applyAlignment="1" applyProtection="1">
      <alignment vertical="center"/>
      <protection locked="0"/>
    </xf>
    <xf numFmtId="0" fontId="0" fillId="2" borderId="0" xfId="0" applyFill="1" applyBorder="1" applyAlignment="1" applyProtection="1"/>
    <xf numFmtId="0" fontId="20" fillId="2" borderId="0" xfId="0" applyFont="1" applyFill="1" applyBorder="1" applyAlignment="1" applyProtection="1">
      <alignment horizontal="left"/>
    </xf>
    <xf numFmtId="166" fontId="20" fillId="2" borderId="0" xfId="0" applyNumberFormat="1" applyFont="1" applyFill="1" applyBorder="1" applyAlignment="1" applyProtection="1">
      <alignment horizontal="right"/>
    </xf>
    <xf numFmtId="0" fontId="2" fillId="0" borderId="0" xfId="0" applyFont="1" applyBorder="1" applyProtection="1"/>
    <xf numFmtId="0" fontId="1" fillId="0" borderId="8" xfId="0" applyFont="1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164" fontId="10" fillId="2" borderId="4" xfId="0" applyNumberFormat="1" applyFont="1" applyFill="1" applyBorder="1" applyAlignment="1" applyProtection="1">
      <alignment horizontal="center"/>
    </xf>
    <xf numFmtId="164" fontId="6" fillId="2" borderId="4" xfId="0" applyNumberFormat="1" applyFont="1" applyFill="1" applyBorder="1" applyAlignment="1" applyProtection="1">
      <alignment horizontal="center" vertical="center"/>
      <protection locked="0"/>
    </xf>
    <xf numFmtId="0" fontId="13" fillId="2" borderId="4" xfId="1" applyFont="1" applyFill="1" applyBorder="1" applyAlignment="1">
      <alignment horizontal="center" vertical="center" textRotation="90"/>
    </xf>
    <xf numFmtId="164" fontId="10" fillId="2" borderId="4" xfId="0" applyNumberFormat="1" applyFont="1" applyFill="1" applyBorder="1" applyAlignment="1" applyProtection="1">
      <alignment horizontal="center" vertical="center" textRotation="90" wrapText="1"/>
    </xf>
    <xf numFmtId="0" fontId="20" fillId="2" borderId="0" xfId="0" applyFont="1" applyFill="1" applyBorder="1" applyAlignment="1" applyProtection="1">
      <alignment vertical="center"/>
    </xf>
    <xf numFmtId="0" fontId="20" fillId="2" borderId="6" xfId="0" applyFont="1" applyFill="1" applyBorder="1" applyAlignment="1" applyProtection="1">
      <alignment horizontal="left"/>
      <protection locked="0"/>
    </xf>
    <xf numFmtId="0" fontId="0" fillId="2" borderId="6" xfId="0" applyFill="1" applyBorder="1" applyAlignment="1" applyProtection="1"/>
    <xf numFmtId="0" fontId="20" fillId="2" borderId="6" xfId="0" applyFont="1" applyFill="1" applyBorder="1" applyAlignment="1" applyProtection="1">
      <alignment horizontal="right"/>
      <protection locked="0"/>
    </xf>
    <xf numFmtId="0" fontId="0" fillId="2" borderId="6" xfId="0" applyFill="1" applyBorder="1" applyProtection="1"/>
    <xf numFmtId="14" fontId="21" fillId="2" borderId="6" xfId="0" applyNumberFormat="1" applyFont="1" applyFill="1" applyBorder="1" applyAlignment="1" applyProtection="1">
      <alignment horizontal="center"/>
      <protection locked="0"/>
    </xf>
    <xf numFmtId="0" fontId="20" fillId="2" borderId="6" xfId="0" applyFont="1" applyFill="1" applyBorder="1" applyAlignment="1" applyProtection="1">
      <alignment horizontal="left"/>
    </xf>
    <xf numFmtId="14" fontId="21" fillId="2" borderId="6" xfId="0" applyNumberFormat="1" applyFon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left"/>
      <protection locked="0"/>
    </xf>
    <xf numFmtId="0" fontId="3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horizontal="left"/>
      <protection locked="0"/>
    </xf>
    <xf numFmtId="0" fontId="1" fillId="2" borderId="6" xfId="0" applyFont="1" applyFill="1" applyBorder="1" applyAlignment="1" applyProtection="1">
      <alignment horizontal="left"/>
    </xf>
    <xf numFmtId="166" fontId="2" fillId="2" borderId="6" xfId="0" applyNumberFormat="1" applyFont="1" applyFill="1" applyBorder="1" applyAlignment="1" applyProtection="1">
      <alignment horizontal="right"/>
    </xf>
    <xf numFmtId="164" fontId="10" fillId="3" borderId="3" xfId="0" applyNumberFormat="1" applyFont="1" applyFill="1" applyBorder="1" applyAlignment="1" applyProtection="1">
      <alignment horizontal="center"/>
    </xf>
    <xf numFmtId="0" fontId="12" fillId="0" borderId="33" xfId="0" applyFont="1" applyBorder="1" applyAlignment="1" applyProtection="1">
      <alignment vertical="center"/>
      <protection locked="0"/>
    </xf>
    <xf numFmtId="0" fontId="2" fillId="0" borderId="0" xfId="0" applyFont="1" applyProtection="1"/>
    <xf numFmtId="0" fontId="2" fillId="2" borderId="0" xfId="0" applyFont="1" applyFill="1" applyBorder="1" applyProtection="1"/>
    <xf numFmtId="0" fontId="2" fillId="2" borderId="0" xfId="0" applyFont="1" applyFill="1" applyBorder="1" applyAlignment="1" applyProtection="1"/>
    <xf numFmtId="0" fontId="2" fillId="2" borderId="0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horizontal="left"/>
      <protection locked="0"/>
    </xf>
    <xf numFmtId="0" fontId="2" fillId="0" borderId="0" xfId="0" applyFont="1" applyAlignment="1" applyProtection="1"/>
    <xf numFmtId="0" fontId="2" fillId="2" borderId="6" xfId="0" applyFont="1" applyFill="1" applyBorder="1" applyAlignment="1" applyProtection="1"/>
    <xf numFmtId="0" fontId="2" fillId="2" borderId="6" xfId="0" applyFont="1" applyFill="1" applyBorder="1" applyProtection="1"/>
    <xf numFmtId="0" fontId="2" fillId="2" borderId="6" xfId="0" applyFont="1" applyFill="1" applyBorder="1" applyAlignment="1" applyProtection="1">
      <alignment horizontal="left"/>
      <protection locked="0"/>
    </xf>
    <xf numFmtId="0" fontId="2" fillId="0" borderId="27" xfId="0" applyFont="1" applyBorder="1" applyProtection="1"/>
    <xf numFmtId="0" fontId="2" fillId="0" borderId="0" xfId="0" applyFont="1" applyAlignment="1" applyProtection="1">
      <alignment horizontal="center"/>
    </xf>
    <xf numFmtId="0" fontId="2" fillId="0" borderId="0" xfId="0" applyFont="1"/>
    <xf numFmtId="0" fontId="2" fillId="0" borderId="19" xfId="0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9" fillId="0" borderId="0" xfId="0" applyFont="1" applyBorder="1" applyProtection="1"/>
    <xf numFmtId="0" fontId="12" fillId="0" borderId="33" xfId="0" applyFont="1" applyBorder="1" applyAlignment="1" applyProtection="1">
      <alignment vertical="center"/>
      <protection locked="0"/>
    </xf>
    <xf numFmtId="0" fontId="32" fillId="0" borderId="0" xfId="0" applyFont="1"/>
    <xf numFmtId="0" fontId="26" fillId="2" borderId="37" xfId="0" applyFont="1" applyFill="1" applyBorder="1" applyAlignment="1" applyProtection="1">
      <alignment textRotation="90" wrapText="1"/>
      <protection locked="0"/>
    </xf>
    <xf numFmtId="0" fontId="26" fillId="2" borderId="38" xfId="0" applyFont="1" applyFill="1" applyBorder="1" applyAlignment="1" applyProtection="1">
      <alignment textRotation="90" wrapText="1"/>
      <protection locked="0"/>
    </xf>
    <xf numFmtId="0" fontId="12" fillId="0" borderId="33" xfId="0" applyFont="1" applyBorder="1" applyAlignment="1" applyProtection="1">
      <alignment vertical="center"/>
      <protection locked="0"/>
    </xf>
    <xf numFmtId="0" fontId="8" fillId="2" borderId="33" xfId="0" applyFont="1" applyFill="1" applyBorder="1" applyAlignment="1" applyProtection="1">
      <alignment textRotation="90"/>
      <protection locked="0"/>
    </xf>
    <xf numFmtId="0" fontId="33" fillId="0" borderId="13" xfId="0" applyFont="1" applyBorder="1" applyAlignment="1" applyProtection="1">
      <alignment horizontal="center"/>
      <protection locked="0"/>
    </xf>
    <xf numFmtId="49" fontId="16" fillId="2" borderId="1" xfId="1" applyNumberFormat="1" applyFont="1" applyFill="1" applyBorder="1" applyAlignment="1">
      <alignment horizontal="left" vertical="top" wrapText="1"/>
    </xf>
    <xf numFmtId="49" fontId="16" fillId="2" borderId="27" xfId="1" applyNumberFormat="1" applyFont="1" applyFill="1" applyBorder="1" applyAlignment="1">
      <alignment horizontal="left" vertical="top" wrapText="1"/>
    </xf>
    <xf numFmtId="49" fontId="16" fillId="2" borderId="25" xfId="1" applyNumberFormat="1" applyFont="1" applyFill="1" applyBorder="1" applyAlignment="1">
      <alignment horizontal="left" vertical="top" wrapText="1"/>
    </xf>
    <xf numFmtId="49" fontId="16" fillId="2" borderId="2" xfId="1" applyNumberFormat="1" applyFont="1" applyFill="1" applyBorder="1" applyAlignment="1">
      <alignment horizontal="left" vertical="top" wrapText="1"/>
    </xf>
    <xf numFmtId="49" fontId="16" fillId="2" borderId="0" xfId="1" applyNumberFormat="1" applyFont="1" applyFill="1" applyBorder="1" applyAlignment="1">
      <alignment horizontal="left" vertical="top" wrapText="1"/>
    </xf>
    <xf numFmtId="49" fontId="16" fillId="2" borderId="19" xfId="1" applyNumberFormat="1" applyFont="1" applyFill="1" applyBorder="1" applyAlignment="1">
      <alignment horizontal="left" vertical="top" wrapText="1"/>
    </xf>
    <xf numFmtId="49" fontId="16" fillId="2" borderId="28" xfId="1" applyNumberFormat="1" applyFont="1" applyFill="1" applyBorder="1" applyAlignment="1">
      <alignment horizontal="left" vertical="top" wrapText="1"/>
    </xf>
    <xf numFmtId="49" fontId="16" fillId="2" borderId="6" xfId="1" applyNumberFormat="1" applyFont="1" applyFill="1" applyBorder="1" applyAlignment="1">
      <alignment horizontal="left" vertical="top" wrapText="1"/>
    </xf>
    <xf numFmtId="49" fontId="16" fillId="2" borderId="29" xfId="1" applyNumberFormat="1" applyFont="1" applyFill="1" applyBorder="1" applyAlignment="1">
      <alignment horizontal="left" vertical="top" wrapText="1"/>
    </xf>
    <xf numFmtId="0" fontId="12" fillId="0" borderId="32" xfId="0" applyFont="1" applyBorder="1" applyAlignment="1" applyProtection="1">
      <alignment vertical="center"/>
      <protection locked="0"/>
    </xf>
    <xf numFmtId="0" fontId="12" fillId="0" borderId="33" xfId="0" applyFont="1" applyBorder="1" applyAlignment="1" applyProtection="1">
      <alignment vertical="center"/>
      <protection locked="0"/>
    </xf>
    <xf numFmtId="0" fontId="12" fillId="0" borderId="34" xfId="0" applyFont="1" applyBorder="1" applyAlignment="1" applyProtection="1">
      <alignment vertical="center"/>
      <protection locked="0"/>
    </xf>
    <xf numFmtId="0" fontId="29" fillId="0" borderId="32" xfId="0" applyFont="1" applyBorder="1" applyAlignment="1" applyProtection="1">
      <alignment horizontal="left" vertical="center"/>
      <protection locked="0"/>
    </xf>
    <xf numFmtId="0" fontId="29" fillId="0" borderId="33" xfId="0" applyFont="1" applyBorder="1" applyAlignment="1" applyProtection="1">
      <alignment horizontal="left" vertical="center"/>
      <protection locked="0"/>
    </xf>
    <xf numFmtId="0" fontId="29" fillId="0" borderId="34" xfId="0" applyFont="1" applyBorder="1" applyAlignment="1" applyProtection="1">
      <alignment horizontal="left" vertical="center"/>
      <protection locked="0"/>
    </xf>
    <xf numFmtId="0" fontId="8" fillId="0" borderId="32" xfId="0" applyFont="1" applyBorder="1" applyAlignment="1" applyProtection="1">
      <alignment horizontal="left" vertical="center"/>
      <protection locked="0"/>
    </xf>
    <xf numFmtId="0" fontId="8" fillId="0" borderId="33" xfId="0" applyFont="1" applyBorder="1" applyAlignment="1" applyProtection="1">
      <alignment horizontal="left" vertical="center"/>
      <protection locked="0"/>
    </xf>
    <xf numFmtId="0" fontId="8" fillId="0" borderId="34" xfId="0" applyFont="1" applyBorder="1" applyAlignment="1" applyProtection="1">
      <alignment horizontal="left" vertical="center"/>
      <protection locked="0"/>
    </xf>
    <xf numFmtId="0" fontId="29" fillId="0" borderId="32" xfId="0" applyFont="1" applyBorder="1" applyAlignment="1" applyProtection="1">
      <alignment vertical="center"/>
      <protection locked="0"/>
    </xf>
    <xf numFmtId="0" fontId="29" fillId="0" borderId="33" xfId="0" applyFont="1" applyBorder="1" applyAlignment="1" applyProtection="1">
      <alignment vertical="center"/>
      <protection locked="0"/>
    </xf>
    <xf numFmtId="0" fontId="29" fillId="0" borderId="34" xfId="0" applyFont="1" applyBorder="1" applyAlignment="1" applyProtection="1">
      <alignment vertical="center"/>
      <protection locked="0"/>
    </xf>
    <xf numFmtId="0" fontId="6" fillId="0" borderId="1" xfId="1" applyFont="1" applyBorder="1" applyAlignment="1">
      <alignment horizontal="left" vertical="center" wrapText="1"/>
    </xf>
    <xf numFmtId="0" fontId="6" fillId="0" borderId="25" xfId="1" applyFont="1" applyBorder="1" applyAlignment="1">
      <alignment horizontal="left" vertical="center" wrapText="1"/>
    </xf>
    <xf numFmtId="0" fontId="6" fillId="0" borderId="28" xfId="1" applyFont="1" applyBorder="1" applyAlignment="1">
      <alignment horizontal="left" vertical="center" wrapText="1"/>
    </xf>
    <xf numFmtId="0" fontId="6" fillId="0" borderId="29" xfId="1" applyFont="1" applyBorder="1" applyAlignment="1">
      <alignment horizontal="left" vertical="center" wrapText="1"/>
    </xf>
    <xf numFmtId="0" fontId="6" fillId="0" borderId="3" xfId="1" quotePrefix="1" applyFont="1" applyBorder="1" applyAlignment="1">
      <alignment horizontal="left" vertical="center" wrapText="1"/>
    </xf>
    <xf numFmtId="0" fontId="6" fillId="0" borderId="24" xfId="1" quotePrefix="1" applyFont="1" applyBorder="1" applyAlignment="1">
      <alignment horizontal="left" vertical="center" wrapText="1"/>
    </xf>
    <xf numFmtId="0" fontId="6" fillId="0" borderId="27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164" fontId="10" fillId="3" borderId="3" xfId="0" applyNumberFormat="1" applyFont="1" applyFill="1" applyBorder="1" applyAlignment="1" applyProtection="1">
      <alignment horizontal="center" vertical="center" textRotation="90" wrapText="1"/>
    </xf>
    <xf numFmtId="164" fontId="10" fillId="3" borderId="4" xfId="0" applyNumberFormat="1" applyFont="1" applyFill="1" applyBorder="1" applyAlignment="1" applyProtection="1">
      <alignment horizontal="center" vertical="center" textRotation="90" wrapText="1"/>
    </xf>
    <xf numFmtId="164" fontId="10" fillId="3" borderId="24" xfId="0" applyNumberFormat="1" applyFont="1" applyFill="1" applyBorder="1" applyAlignment="1" applyProtection="1">
      <alignment horizontal="center" vertical="center" textRotation="90" wrapText="1"/>
    </xf>
    <xf numFmtId="0" fontId="6" fillId="0" borderId="1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13" fillId="3" borderId="4" xfId="1" applyFont="1" applyFill="1" applyBorder="1" applyAlignment="1">
      <alignment horizontal="center" vertical="center" textRotation="90"/>
    </xf>
    <xf numFmtId="0" fontId="13" fillId="3" borderId="24" xfId="1" applyFont="1" applyFill="1" applyBorder="1" applyAlignment="1">
      <alignment horizontal="center" vertical="center" textRotation="90"/>
    </xf>
    <xf numFmtId="0" fontId="6" fillId="0" borderId="1" xfId="1" applyFont="1" applyBorder="1" applyAlignment="1">
      <alignment vertical="center" wrapText="1"/>
    </xf>
    <xf numFmtId="0" fontId="6" fillId="0" borderId="25" xfId="1" applyFont="1" applyBorder="1" applyAlignment="1">
      <alignment vertical="center" wrapText="1"/>
    </xf>
    <xf numFmtId="0" fontId="6" fillId="0" borderId="28" xfId="1" applyFont="1" applyBorder="1" applyAlignment="1">
      <alignment vertical="center" wrapText="1"/>
    </xf>
    <xf numFmtId="0" fontId="6" fillId="0" borderId="29" xfId="1" applyFont="1" applyBorder="1" applyAlignment="1">
      <alignment vertical="center" wrapText="1"/>
    </xf>
    <xf numFmtId="0" fontId="14" fillId="3" borderId="32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20" fontId="6" fillId="0" borderId="4" xfId="1" quotePrefix="1" applyNumberFormat="1" applyFont="1" applyBorder="1" applyAlignment="1">
      <alignment horizontal="left" vertical="center" wrapText="1"/>
    </xf>
    <xf numFmtId="49" fontId="12" fillId="0" borderId="1" xfId="1" applyNumberFormat="1" applyFont="1" applyBorder="1" applyAlignment="1">
      <alignment horizontal="left" vertical="center"/>
    </xf>
    <xf numFmtId="49" fontId="12" fillId="0" borderId="27" xfId="1" applyNumberFormat="1" applyFont="1" applyBorder="1" applyAlignment="1">
      <alignment horizontal="left" vertical="center"/>
    </xf>
    <xf numFmtId="49" fontId="12" fillId="0" borderId="25" xfId="1" applyNumberFormat="1" applyFont="1" applyBorder="1" applyAlignment="1">
      <alignment horizontal="left" vertical="center"/>
    </xf>
    <xf numFmtId="49" fontId="12" fillId="0" borderId="28" xfId="1" applyNumberFormat="1" applyFont="1" applyBorder="1" applyAlignment="1">
      <alignment horizontal="left" vertical="center"/>
    </xf>
    <xf numFmtId="49" fontId="12" fillId="0" borderId="6" xfId="1" applyNumberFormat="1" applyFont="1" applyBorder="1" applyAlignment="1">
      <alignment horizontal="left" vertical="center"/>
    </xf>
    <xf numFmtId="49" fontId="12" fillId="0" borderId="29" xfId="1" applyNumberFormat="1" applyFont="1" applyBorder="1" applyAlignment="1">
      <alignment horizontal="left" vertical="center"/>
    </xf>
    <xf numFmtId="164" fontId="8" fillId="0" borderId="4" xfId="0" applyNumberFormat="1" applyFont="1" applyBorder="1" applyAlignment="1" applyProtection="1">
      <alignment horizontal="center" vertical="center" wrapText="1"/>
    </xf>
    <xf numFmtId="164" fontId="8" fillId="0" borderId="24" xfId="0" applyNumberFormat="1" applyFont="1" applyBorder="1" applyAlignment="1" applyProtection="1">
      <alignment horizontal="center" vertical="center" wrapText="1"/>
    </xf>
    <xf numFmtId="0" fontId="14" fillId="3" borderId="33" xfId="0" applyFont="1" applyFill="1" applyBorder="1" applyAlignment="1" applyProtection="1">
      <alignment horizontal="center" vertical="center"/>
      <protection locked="0"/>
    </xf>
    <xf numFmtId="0" fontId="29" fillId="0" borderId="3" xfId="0" applyFont="1" applyBorder="1" applyAlignment="1" applyProtection="1">
      <alignment horizontal="left" vertical="center" wrapText="1"/>
    </xf>
    <xf numFmtId="0" fontId="29" fillId="0" borderId="24" xfId="0" applyFont="1" applyBorder="1" applyAlignment="1" applyProtection="1">
      <alignment horizontal="left" vertical="center" wrapText="1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10" fillId="3" borderId="27" xfId="0" applyFont="1" applyFill="1" applyBorder="1" applyAlignment="1" applyProtection="1">
      <alignment horizontal="center" vertical="center" wrapText="1"/>
      <protection locked="0"/>
    </xf>
    <xf numFmtId="0" fontId="10" fillId="3" borderId="25" xfId="0" applyFont="1" applyFill="1" applyBorder="1" applyAlignment="1" applyProtection="1">
      <alignment horizontal="center" vertical="center" wrapText="1"/>
      <protection locked="0"/>
    </xf>
    <xf numFmtId="0" fontId="10" fillId="3" borderId="28" xfId="0" applyFont="1" applyFill="1" applyBorder="1" applyAlignment="1" applyProtection="1">
      <alignment horizontal="center" vertical="center" wrapText="1"/>
      <protection locked="0"/>
    </xf>
    <xf numFmtId="0" fontId="10" fillId="3" borderId="6" xfId="0" applyFont="1" applyFill="1" applyBorder="1" applyAlignment="1" applyProtection="1">
      <alignment horizontal="center" vertical="center" wrapText="1"/>
      <protection locked="0"/>
    </xf>
    <xf numFmtId="0" fontId="10" fillId="3" borderId="29" xfId="0" applyFont="1" applyFill="1" applyBorder="1" applyAlignment="1" applyProtection="1">
      <alignment horizontal="center" vertical="center" wrapText="1"/>
      <protection locked="0"/>
    </xf>
    <xf numFmtId="49" fontId="12" fillId="0" borderId="1" xfId="2" applyNumberFormat="1" applyFont="1" applyFill="1" applyBorder="1" applyAlignment="1">
      <alignment horizontal="left" vertical="center"/>
    </xf>
    <xf numFmtId="49" fontId="12" fillId="0" borderId="27" xfId="2" applyNumberFormat="1" applyFont="1" applyFill="1" applyBorder="1" applyAlignment="1">
      <alignment horizontal="left" vertical="center"/>
    </xf>
    <xf numFmtId="49" fontId="12" fillId="0" borderId="25" xfId="2" applyNumberFormat="1" applyFont="1" applyFill="1" applyBorder="1" applyAlignment="1">
      <alignment horizontal="left" vertical="center"/>
    </xf>
    <xf numFmtId="49" fontId="12" fillId="0" borderId="28" xfId="2" applyNumberFormat="1" applyFont="1" applyFill="1" applyBorder="1" applyAlignment="1">
      <alignment horizontal="left" vertical="center"/>
    </xf>
    <xf numFmtId="49" fontId="12" fillId="0" borderId="6" xfId="2" applyNumberFormat="1" applyFont="1" applyFill="1" applyBorder="1" applyAlignment="1">
      <alignment horizontal="left" vertical="center"/>
    </xf>
    <xf numFmtId="49" fontId="12" fillId="0" borderId="29" xfId="2" applyNumberFormat="1" applyFont="1" applyFill="1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0" fontId="12" fillId="0" borderId="27" xfId="1" applyFont="1" applyBorder="1" applyAlignment="1">
      <alignment horizontal="left" vertical="center"/>
    </xf>
    <xf numFmtId="0" fontId="12" fillId="0" borderId="25" xfId="1" applyFont="1" applyBorder="1" applyAlignment="1">
      <alignment horizontal="left" vertical="center"/>
    </xf>
    <xf numFmtId="0" fontId="12" fillId="0" borderId="28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12" fillId="0" borderId="29" xfId="1" applyFont="1" applyBorder="1" applyAlignment="1">
      <alignment horizontal="left" vertical="center"/>
    </xf>
    <xf numFmtId="14" fontId="19" fillId="3" borderId="2" xfId="0" applyNumberFormat="1" applyFont="1" applyFill="1" applyBorder="1" applyAlignment="1" applyProtection="1">
      <alignment horizontal="center" vertical="center"/>
      <protection locked="0"/>
    </xf>
    <xf numFmtId="14" fontId="19" fillId="3" borderId="0" xfId="0" applyNumberFormat="1" applyFont="1" applyFill="1" applyBorder="1" applyAlignment="1" applyProtection="1">
      <alignment horizontal="center" vertical="center"/>
      <protection locked="0"/>
    </xf>
    <xf numFmtId="14" fontId="19" fillId="3" borderId="19" xfId="0" applyNumberFormat="1" applyFont="1" applyFill="1" applyBorder="1" applyAlignment="1" applyProtection="1">
      <alignment horizontal="center" vertical="center"/>
      <protection locked="0"/>
    </xf>
    <xf numFmtId="14" fontId="19" fillId="3" borderId="28" xfId="0" applyNumberFormat="1" applyFont="1" applyFill="1" applyBorder="1" applyAlignment="1" applyProtection="1">
      <alignment horizontal="center" vertical="center"/>
      <protection locked="0"/>
    </xf>
    <xf numFmtId="14" fontId="19" fillId="3" borderId="6" xfId="0" applyNumberFormat="1" applyFont="1" applyFill="1" applyBorder="1" applyAlignment="1" applyProtection="1">
      <alignment horizontal="center" vertical="center"/>
      <protection locked="0"/>
    </xf>
    <xf numFmtId="14" fontId="19" fillId="3" borderId="29" xfId="0" applyNumberFormat="1" applyFont="1" applyFill="1" applyBorder="1" applyAlignment="1" applyProtection="1">
      <alignment horizontal="center" vertical="center"/>
      <protection locked="0"/>
    </xf>
    <xf numFmtId="0" fontId="26" fillId="0" borderId="3" xfId="0" applyFont="1" applyBorder="1" applyAlignment="1" applyProtection="1">
      <alignment horizontal="center" vertical="center" wrapText="1"/>
      <protection locked="0"/>
    </xf>
    <xf numFmtId="0" fontId="26" fillId="0" borderId="24" xfId="0" applyFont="1" applyBorder="1" applyAlignment="1" applyProtection="1">
      <alignment horizontal="center" vertical="center" wrapText="1"/>
      <protection locked="0"/>
    </xf>
    <xf numFmtId="0" fontId="28" fillId="0" borderId="3" xfId="0" quotePrefix="1" applyFont="1" applyBorder="1" applyAlignment="1" applyProtection="1">
      <alignment horizontal="left" vertical="center" wrapText="1"/>
    </xf>
    <xf numFmtId="0" fontId="28" fillId="0" borderId="24" xfId="0" quotePrefix="1" applyFont="1" applyBorder="1" applyAlignment="1" applyProtection="1">
      <alignment horizontal="left" vertical="center" wrapText="1"/>
    </xf>
    <xf numFmtId="0" fontId="29" fillId="0" borderId="3" xfId="0" quotePrefix="1" applyFont="1" applyBorder="1" applyAlignment="1" applyProtection="1">
      <alignment horizontal="left" vertical="center" wrapText="1"/>
    </xf>
    <xf numFmtId="0" fontId="29" fillId="0" borderId="24" xfId="0" quotePrefix="1" applyFont="1" applyBorder="1" applyAlignment="1" applyProtection="1">
      <alignment horizontal="left" vertical="center" wrapText="1"/>
    </xf>
    <xf numFmtId="0" fontId="18" fillId="3" borderId="2" xfId="0" applyFont="1" applyFill="1" applyBorder="1" applyAlignment="1" applyProtection="1">
      <alignment horizontal="center" vertical="center"/>
      <protection locked="0"/>
    </xf>
    <xf numFmtId="0" fontId="18" fillId="3" borderId="0" xfId="0" applyFont="1" applyFill="1" applyBorder="1" applyAlignment="1" applyProtection="1">
      <alignment horizontal="center" vertical="center"/>
      <protection locked="0"/>
    </xf>
    <xf numFmtId="0" fontId="18" fillId="3" borderId="19" xfId="0" applyFont="1" applyFill="1" applyBorder="1" applyAlignment="1" applyProtection="1">
      <alignment horizontal="center" vertical="center"/>
      <protection locked="0"/>
    </xf>
    <xf numFmtId="0" fontId="14" fillId="3" borderId="3" xfId="0" applyFont="1" applyFill="1" applyBorder="1" applyAlignment="1" applyProtection="1">
      <alignment horizontal="left" vertical="center" wrapText="1"/>
      <protection locked="0"/>
    </xf>
    <xf numFmtId="0" fontId="14" fillId="3" borderId="24" xfId="0" applyFont="1" applyFill="1" applyBorder="1" applyAlignment="1" applyProtection="1">
      <alignment horizontal="left" vertical="center" wrapText="1"/>
      <protection locked="0"/>
    </xf>
    <xf numFmtId="0" fontId="14" fillId="3" borderId="1" xfId="0" applyFont="1" applyFill="1" applyBorder="1" applyAlignment="1" applyProtection="1">
      <alignment horizontal="left" vertical="center"/>
    </xf>
    <xf numFmtId="0" fontId="14" fillId="3" borderId="28" xfId="0" applyFont="1" applyFill="1" applyBorder="1" applyAlignment="1" applyProtection="1">
      <alignment horizontal="left" vertical="center"/>
    </xf>
    <xf numFmtId="0" fontId="14" fillId="3" borderId="27" xfId="0" applyFont="1" applyFill="1" applyBorder="1" applyAlignment="1" applyProtection="1">
      <alignment horizontal="left" vertical="center"/>
    </xf>
    <xf numFmtId="0" fontId="14" fillId="3" borderId="6" xfId="0" applyFont="1" applyFill="1" applyBorder="1" applyAlignment="1" applyProtection="1">
      <alignment horizontal="left" vertical="center"/>
    </xf>
    <xf numFmtId="0" fontId="14" fillId="3" borderId="25" xfId="0" applyFont="1" applyFill="1" applyBorder="1" applyAlignment="1" applyProtection="1">
      <alignment horizontal="left" vertical="center"/>
    </xf>
    <xf numFmtId="0" fontId="14" fillId="3" borderId="29" xfId="0" applyFont="1" applyFill="1" applyBorder="1" applyAlignment="1" applyProtection="1">
      <alignment horizontal="left" vertical="center"/>
    </xf>
    <xf numFmtId="0" fontId="2" fillId="0" borderId="32" xfId="0" applyFont="1" applyFill="1" applyBorder="1" applyAlignment="1" applyProtection="1">
      <alignment horizontal="left" vertical="center" wrapText="1"/>
    </xf>
    <xf numFmtId="0" fontId="2" fillId="0" borderId="33" xfId="0" applyFont="1" applyFill="1" applyBorder="1" applyAlignment="1" applyProtection="1">
      <alignment horizontal="left" vertical="center" wrapText="1"/>
    </xf>
    <xf numFmtId="0" fontId="2" fillId="0" borderId="34" xfId="0" applyFont="1" applyFill="1" applyBorder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27" xfId="0" applyFont="1" applyBorder="1" applyAlignment="1" applyProtection="1">
      <alignment horizontal="left" vertical="center" wrapText="1"/>
      <protection locked="0"/>
    </xf>
    <xf numFmtId="0" fontId="2" fillId="0" borderId="25" xfId="0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0" xfId="0" applyFont="1" applyBorder="1" applyAlignment="1" applyProtection="1">
      <alignment horizontal="left" vertical="center" wrapText="1"/>
      <protection locked="0"/>
    </xf>
    <xf numFmtId="0" fontId="2" fillId="0" borderId="19" xfId="0" applyFont="1" applyBorder="1" applyAlignment="1" applyProtection="1">
      <alignment horizontal="left" vertical="center" wrapText="1"/>
      <protection locked="0"/>
    </xf>
    <xf numFmtId="0" fontId="2" fillId="0" borderId="28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29" xfId="0" applyFont="1" applyBorder="1" applyAlignment="1" applyProtection="1">
      <alignment horizontal="left" vertical="center" wrapText="1"/>
      <protection locked="0"/>
    </xf>
    <xf numFmtId="0" fontId="8" fillId="2" borderId="32" xfId="0" applyFont="1" applyFill="1" applyBorder="1" applyAlignment="1" applyProtection="1">
      <alignment horizontal="center" textRotation="90"/>
      <protection locked="0"/>
    </xf>
    <xf numFmtId="0" fontId="8" fillId="2" borderId="31" xfId="0" applyFont="1" applyFill="1" applyBorder="1" applyAlignment="1" applyProtection="1">
      <alignment horizontal="center" textRotation="90"/>
      <protection locked="0"/>
    </xf>
    <xf numFmtId="0" fontId="8" fillId="2" borderId="35" xfId="0" applyFont="1" applyFill="1" applyBorder="1" applyAlignment="1" applyProtection="1">
      <alignment horizontal="center" textRotation="90"/>
      <protection locked="0"/>
    </xf>
    <xf numFmtId="0" fontId="8" fillId="2" borderId="35" xfId="0" applyFont="1" applyFill="1" applyBorder="1" applyAlignment="1" applyProtection="1">
      <alignment horizontal="center" textRotation="90" wrapText="1"/>
      <protection locked="0"/>
    </xf>
    <xf numFmtId="0" fontId="8" fillId="2" borderId="33" xfId="0" applyFont="1" applyFill="1" applyBorder="1" applyAlignment="1" applyProtection="1">
      <alignment horizontal="center" textRotation="90"/>
      <protection locked="0"/>
    </xf>
    <xf numFmtId="0" fontId="8" fillId="2" borderId="34" xfId="0" applyFont="1" applyFill="1" applyBorder="1" applyAlignment="1" applyProtection="1">
      <alignment horizontal="center" textRotation="90"/>
      <protection locked="0"/>
    </xf>
    <xf numFmtId="0" fontId="26" fillId="2" borderId="35" xfId="0" applyFont="1" applyFill="1" applyBorder="1" applyAlignment="1" applyProtection="1">
      <alignment horizontal="center" textRotation="90"/>
      <protection locked="0"/>
    </xf>
    <xf numFmtId="0" fontId="26" fillId="2" borderId="33" xfId="0" applyFont="1" applyFill="1" applyBorder="1" applyAlignment="1" applyProtection="1">
      <alignment horizontal="center" textRotation="90"/>
      <protection locked="0"/>
    </xf>
    <xf numFmtId="164" fontId="10" fillId="3" borderId="3" xfId="0" applyNumberFormat="1" applyFont="1" applyFill="1" applyBorder="1" applyAlignment="1" applyProtection="1">
      <alignment horizontal="center"/>
    </xf>
    <xf numFmtId="164" fontId="10" fillId="3" borderId="24" xfId="0" applyNumberFormat="1" applyFont="1" applyFill="1" applyBorder="1" applyAlignment="1" applyProtection="1">
      <alignment horizontal="center"/>
    </xf>
    <xf numFmtId="0" fontId="18" fillId="3" borderId="1" xfId="0" applyFont="1" applyFill="1" applyBorder="1" applyAlignment="1" applyProtection="1">
      <alignment horizontal="center"/>
    </xf>
    <xf numFmtId="0" fontId="18" fillId="3" borderId="27" xfId="0" applyFont="1" applyFill="1" applyBorder="1" applyAlignment="1" applyProtection="1">
      <alignment horizontal="center"/>
    </xf>
    <xf numFmtId="0" fontId="18" fillId="3" borderId="25" xfId="0" applyFont="1" applyFill="1" applyBorder="1" applyAlignment="1" applyProtection="1">
      <alignment horizontal="center"/>
    </xf>
    <xf numFmtId="0" fontId="22" fillId="0" borderId="0" xfId="0" applyFont="1" applyBorder="1" applyAlignment="1" applyProtection="1">
      <alignment horizontal="center"/>
    </xf>
    <xf numFmtId="0" fontId="24" fillId="0" borderId="0" xfId="0" applyFont="1" applyBorder="1" applyAlignment="1" applyProtection="1">
      <alignment horizontal="center"/>
    </xf>
    <xf numFmtId="14" fontId="21" fillId="2" borderId="0" xfId="0" applyNumberFormat="1" applyFont="1" applyFill="1" applyBorder="1" applyAlignment="1" applyProtection="1">
      <alignment horizontal="right"/>
    </xf>
    <xf numFmtId="0" fontId="23" fillId="3" borderId="0" xfId="0" applyFont="1" applyFill="1" applyBorder="1" applyAlignment="1" applyProtection="1">
      <alignment horizontal="center" vertical="center"/>
      <protection locked="0"/>
    </xf>
    <xf numFmtId="0" fontId="20" fillId="2" borderId="0" xfId="0" applyFont="1" applyFill="1" applyBorder="1" applyAlignment="1" applyProtection="1">
      <alignment horizontal="center" vertical="center"/>
      <protection locked="0"/>
    </xf>
    <xf numFmtId="14" fontId="23" fillId="3" borderId="0" xfId="0" applyNumberFormat="1" applyFont="1" applyFill="1" applyBorder="1" applyAlignment="1" applyProtection="1">
      <alignment horizontal="center" vertical="center"/>
      <protection locked="0"/>
    </xf>
    <xf numFmtId="0" fontId="20" fillId="2" borderId="0" xfId="0" applyFont="1" applyFill="1" applyBorder="1" applyAlignment="1" applyProtection="1">
      <alignment horizontal="center" vertical="center"/>
    </xf>
    <xf numFmtId="14" fontId="23" fillId="3" borderId="0" xfId="0" applyNumberFormat="1" applyFont="1" applyFill="1" applyBorder="1" applyAlignment="1" applyProtection="1">
      <alignment horizontal="center" vertical="center"/>
    </xf>
    <xf numFmtId="165" fontId="19" fillId="3" borderId="28" xfId="0" applyNumberFormat="1" applyFont="1" applyFill="1" applyBorder="1" applyAlignment="1" applyProtection="1">
      <alignment horizontal="center"/>
    </xf>
    <xf numFmtId="165" fontId="19" fillId="3" borderId="6" xfId="0" applyNumberFormat="1" applyFont="1" applyFill="1" applyBorder="1" applyAlignment="1" applyProtection="1">
      <alignment horizontal="center"/>
    </xf>
    <xf numFmtId="165" fontId="19" fillId="3" borderId="29" xfId="0" applyNumberFormat="1" applyFont="1" applyFill="1" applyBorder="1" applyAlignment="1" applyProtection="1">
      <alignment horizontal="center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24" xfId="0" applyFont="1" applyBorder="1" applyAlignment="1" applyProtection="1">
      <alignment horizontal="center" vertical="center" wrapText="1"/>
      <protection locked="0"/>
    </xf>
    <xf numFmtId="0" fontId="6" fillId="0" borderId="3" xfId="0" quotePrefix="1" applyFont="1" applyBorder="1" applyAlignment="1" applyProtection="1">
      <alignment horizontal="left" vertical="center" wrapText="1"/>
    </xf>
    <xf numFmtId="0" fontId="6" fillId="0" borderId="24" xfId="0" quotePrefix="1" applyFont="1" applyBorder="1" applyAlignment="1" applyProtection="1">
      <alignment horizontal="left" vertical="center" wrapText="1"/>
    </xf>
    <xf numFmtId="0" fontId="30" fillId="0" borderId="3" xfId="0" quotePrefix="1" applyFont="1" applyBorder="1" applyAlignment="1" applyProtection="1">
      <alignment horizontal="left" vertical="center" wrapText="1"/>
    </xf>
    <xf numFmtId="0" fontId="30" fillId="0" borderId="24" xfId="0" quotePrefix="1" applyFont="1" applyBorder="1" applyAlignment="1" applyProtection="1">
      <alignment horizontal="left" vertical="center" wrapText="1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27" xfId="0" applyFont="1" applyBorder="1" applyAlignment="1" applyProtection="1">
      <alignment horizontal="left" vertical="center" wrapText="1"/>
      <protection locked="0"/>
    </xf>
    <xf numFmtId="0" fontId="12" fillId="0" borderId="25" xfId="0" applyFont="1" applyBorder="1" applyAlignment="1" applyProtection="1">
      <alignment horizontal="left" vertical="center" wrapText="1"/>
      <protection locked="0"/>
    </xf>
    <xf numFmtId="0" fontId="12" fillId="0" borderId="2" xfId="0" applyFont="1" applyBorder="1" applyAlignment="1" applyProtection="1">
      <alignment horizontal="left" vertical="center" wrapText="1"/>
      <protection locked="0"/>
    </xf>
    <xf numFmtId="0" fontId="12" fillId="0" borderId="0" xfId="0" applyFont="1" applyBorder="1" applyAlignment="1" applyProtection="1">
      <alignment horizontal="left" vertical="center" wrapText="1"/>
      <protection locked="0"/>
    </xf>
    <xf numFmtId="0" fontId="12" fillId="0" borderId="19" xfId="0" applyFont="1" applyBorder="1" applyAlignment="1" applyProtection="1">
      <alignment horizontal="left" vertical="center" wrapText="1"/>
      <protection locked="0"/>
    </xf>
    <xf numFmtId="0" fontId="12" fillId="0" borderId="28" xfId="0" applyFont="1" applyBorder="1" applyAlignment="1" applyProtection="1">
      <alignment horizontal="left" vertical="center" wrapText="1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12" fillId="0" borderId="29" xfId="0" applyFont="1" applyBorder="1" applyAlignment="1" applyProtection="1">
      <alignment horizontal="left" vertical="center" wrapText="1"/>
      <protection locked="0"/>
    </xf>
    <xf numFmtId="165" fontId="19" fillId="3" borderId="0" xfId="0" applyNumberFormat="1" applyFont="1" applyFill="1" applyBorder="1" applyAlignment="1" applyProtection="1">
      <alignment horizontal="center"/>
    </xf>
    <xf numFmtId="0" fontId="7" fillId="0" borderId="4" xfId="1" quotePrefix="1" applyFont="1" applyBorder="1" applyAlignment="1">
      <alignment horizontal="left" vertical="center" wrapText="1"/>
    </xf>
    <xf numFmtId="0" fontId="7" fillId="0" borderId="24" xfId="1" quotePrefix="1" applyFont="1" applyBorder="1" applyAlignment="1">
      <alignment horizontal="left" vertical="center" wrapText="1"/>
    </xf>
    <xf numFmtId="49" fontId="7" fillId="0" borderId="3" xfId="1" quotePrefix="1" applyNumberFormat="1" applyFont="1" applyBorder="1" applyAlignment="1">
      <alignment horizontal="left" vertical="center" wrapText="1"/>
    </xf>
    <xf numFmtId="49" fontId="7" fillId="0" borderId="24" xfId="1" quotePrefix="1" applyNumberFormat="1" applyFont="1" applyBorder="1" applyAlignment="1">
      <alignment horizontal="left" vertical="center" wrapText="1"/>
    </xf>
    <xf numFmtId="0" fontId="6" fillId="0" borderId="4" xfId="1" quotePrefix="1" applyFont="1" applyBorder="1" applyAlignment="1">
      <alignment horizontal="left" vertical="center" wrapText="1"/>
    </xf>
    <xf numFmtId="0" fontId="7" fillId="0" borderId="3" xfId="1" quotePrefix="1" applyFont="1" applyBorder="1" applyAlignment="1">
      <alignment horizontal="left" vertical="center" wrapText="1"/>
    </xf>
    <xf numFmtId="0" fontId="4" fillId="0" borderId="3" xfId="0" applyFont="1" applyBorder="1" applyAlignment="1" applyProtection="1">
      <alignment horizontal="left" vertical="center" wrapText="1"/>
    </xf>
    <xf numFmtId="0" fontId="4" fillId="0" borderId="24" xfId="0" applyFont="1" applyBorder="1" applyAlignment="1" applyProtection="1">
      <alignment horizontal="left" vertical="center" wrapText="1"/>
    </xf>
    <xf numFmtId="0" fontId="6" fillId="0" borderId="3" xfId="0" applyFont="1" applyBorder="1" applyAlignment="1" applyProtection="1">
      <alignment horizontal="left" vertical="center" wrapText="1"/>
    </xf>
    <xf numFmtId="0" fontId="6" fillId="0" borderId="24" xfId="0" applyFont="1" applyBorder="1" applyAlignment="1" applyProtection="1">
      <alignment horizontal="left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24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left" vertical="center" wrapText="1"/>
    </xf>
    <xf numFmtId="0" fontId="15" fillId="0" borderId="24" xfId="0" applyFont="1" applyBorder="1" applyAlignment="1" applyProtection="1">
      <alignment horizontal="left" vertical="center" wrapText="1"/>
    </xf>
    <xf numFmtId="0" fontId="34" fillId="0" borderId="3" xfId="0" applyFont="1" applyBorder="1" applyAlignment="1" applyProtection="1">
      <alignment horizontal="center" vertical="center" wrapText="1"/>
      <protection locked="0"/>
    </xf>
    <xf numFmtId="0" fontId="34" fillId="0" borderId="24" xfId="0" applyFont="1" applyBorder="1" applyAlignment="1" applyProtection="1">
      <alignment horizontal="center" vertical="center" wrapText="1"/>
      <protection locked="0"/>
    </xf>
    <xf numFmtId="0" fontId="15" fillId="0" borderId="3" xfId="0" quotePrefix="1" applyFont="1" applyBorder="1" applyAlignment="1" applyProtection="1">
      <alignment horizontal="left" vertical="center" wrapText="1"/>
    </xf>
    <xf numFmtId="0" fontId="15" fillId="0" borderId="24" xfId="0" quotePrefix="1" applyFont="1" applyBorder="1" applyAlignment="1" applyProtection="1">
      <alignment horizontal="left" vertical="center" wrapText="1"/>
    </xf>
    <xf numFmtId="0" fontId="31" fillId="0" borderId="32" xfId="0" applyFont="1" applyFill="1" applyBorder="1" applyAlignment="1" applyProtection="1">
      <alignment horizontal="left" vertical="center" wrapText="1"/>
    </xf>
    <xf numFmtId="0" fontId="31" fillId="0" borderId="33" xfId="0" applyFont="1" applyFill="1" applyBorder="1" applyAlignment="1" applyProtection="1">
      <alignment horizontal="left" vertical="center" wrapText="1"/>
    </xf>
    <xf numFmtId="0" fontId="31" fillId="0" borderId="34" xfId="0" applyFont="1" applyFill="1" applyBorder="1" applyAlignment="1" applyProtection="1">
      <alignment horizontal="left" vertical="center" wrapText="1"/>
    </xf>
    <xf numFmtId="0" fontId="12" fillId="0" borderId="32" xfId="0" applyFont="1" applyFill="1" applyBorder="1" applyAlignment="1" applyProtection="1">
      <alignment horizontal="left" vertical="center" wrapText="1"/>
    </xf>
    <xf numFmtId="0" fontId="12" fillId="0" borderId="33" xfId="0" applyFont="1" applyFill="1" applyBorder="1" applyAlignment="1" applyProtection="1">
      <alignment horizontal="left" vertical="center" wrapText="1"/>
    </xf>
    <xf numFmtId="0" fontId="12" fillId="0" borderId="34" xfId="0" applyFont="1" applyFill="1" applyBorder="1" applyAlignment="1" applyProtection="1">
      <alignment horizontal="left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27" xfId="1" applyFont="1" applyBorder="1" applyAlignment="1">
      <alignment vertical="center" wrapText="1"/>
    </xf>
    <xf numFmtId="0" fontId="6" fillId="0" borderId="6" xfId="1" applyFont="1" applyBorder="1" applyAlignment="1">
      <alignment vertical="center" wrapText="1"/>
    </xf>
    <xf numFmtId="20" fontId="7" fillId="0" borderId="4" xfId="1" quotePrefix="1" applyNumberFormat="1" applyFon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left" vertical="center"/>
    </xf>
    <xf numFmtId="49" fontId="6" fillId="0" borderId="27" xfId="1" applyNumberFormat="1" applyFont="1" applyBorder="1" applyAlignment="1">
      <alignment horizontal="left" vertical="center"/>
    </xf>
    <xf numFmtId="49" fontId="6" fillId="0" borderId="25" xfId="1" applyNumberFormat="1" applyFont="1" applyBorder="1" applyAlignment="1">
      <alignment horizontal="left" vertical="center"/>
    </xf>
    <xf numFmtId="49" fontId="6" fillId="0" borderId="28" xfId="1" applyNumberFormat="1" applyFont="1" applyBorder="1" applyAlignment="1">
      <alignment horizontal="left" vertical="center"/>
    </xf>
    <xf numFmtId="49" fontId="6" fillId="0" borderId="6" xfId="1" applyNumberFormat="1" applyFont="1" applyBorder="1" applyAlignment="1">
      <alignment horizontal="left" vertical="center"/>
    </xf>
    <xf numFmtId="49" fontId="6" fillId="0" borderId="29" xfId="1" applyNumberFormat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27" xfId="1" applyFont="1" applyBorder="1" applyAlignment="1">
      <alignment horizontal="left" vertical="center"/>
    </xf>
    <xf numFmtId="0" fontId="6" fillId="0" borderId="25" xfId="1" applyFont="1" applyBorder="1" applyAlignment="1">
      <alignment horizontal="left" vertical="center"/>
    </xf>
    <xf numFmtId="0" fontId="6" fillId="0" borderId="28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29" xfId="1" applyFont="1" applyBorder="1" applyAlignment="1">
      <alignment horizontal="left" vertical="center"/>
    </xf>
    <xf numFmtId="49" fontId="6" fillId="0" borderId="1" xfId="2" applyNumberFormat="1" applyFont="1" applyFill="1" applyBorder="1" applyAlignment="1">
      <alignment horizontal="left" vertical="center"/>
    </xf>
    <xf numFmtId="49" fontId="6" fillId="0" borderId="27" xfId="2" applyNumberFormat="1" applyFont="1" applyFill="1" applyBorder="1" applyAlignment="1">
      <alignment horizontal="left" vertical="center"/>
    </xf>
    <xf numFmtId="49" fontId="6" fillId="0" borderId="25" xfId="2" applyNumberFormat="1" applyFont="1" applyFill="1" applyBorder="1" applyAlignment="1">
      <alignment horizontal="left" vertical="center"/>
    </xf>
    <xf numFmtId="49" fontId="6" fillId="0" borderId="28" xfId="2" applyNumberFormat="1" applyFont="1" applyFill="1" applyBorder="1" applyAlignment="1">
      <alignment horizontal="left" vertical="center"/>
    </xf>
    <xf numFmtId="49" fontId="6" fillId="0" borderId="6" xfId="2" applyNumberFormat="1" applyFont="1" applyFill="1" applyBorder="1" applyAlignment="1">
      <alignment horizontal="left" vertical="center"/>
    </xf>
    <xf numFmtId="49" fontId="6" fillId="0" borderId="29" xfId="2" applyNumberFormat="1" applyFont="1" applyFill="1" applyBorder="1" applyAlignment="1">
      <alignment horizontal="left" vertical="center"/>
    </xf>
    <xf numFmtId="0" fontId="6" fillId="0" borderId="1" xfId="2" applyFont="1" applyFill="1" applyBorder="1" applyAlignment="1">
      <alignment horizontal="left" vertical="center"/>
    </xf>
    <xf numFmtId="0" fontId="6" fillId="0" borderId="27" xfId="2" applyFont="1" applyFill="1" applyBorder="1" applyAlignment="1">
      <alignment horizontal="left" vertical="center"/>
    </xf>
    <xf numFmtId="0" fontId="6" fillId="0" borderId="25" xfId="2" applyFont="1" applyFill="1" applyBorder="1" applyAlignment="1">
      <alignment horizontal="left" vertical="center"/>
    </xf>
    <xf numFmtId="0" fontId="6" fillId="0" borderId="28" xfId="2" applyFont="1" applyFill="1" applyBorder="1" applyAlignment="1">
      <alignment horizontal="left" vertical="center"/>
    </xf>
    <xf numFmtId="0" fontId="6" fillId="0" borderId="6" xfId="2" applyFont="1" applyFill="1" applyBorder="1" applyAlignment="1">
      <alignment horizontal="left" vertical="center"/>
    </xf>
    <xf numFmtId="0" fontId="6" fillId="0" borderId="29" xfId="2" applyFont="1" applyFill="1" applyBorder="1" applyAlignment="1">
      <alignment horizontal="left" vertical="center"/>
    </xf>
    <xf numFmtId="0" fontId="25" fillId="0" borderId="3" xfId="0" applyFont="1" applyBorder="1" applyAlignment="1" applyProtection="1">
      <alignment horizontal="center" vertical="center" wrapText="1"/>
      <protection locked="0"/>
    </xf>
    <xf numFmtId="0" fontId="25" fillId="0" borderId="24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28" fillId="0" borderId="3" xfId="0" applyFont="1" applyBorder="1" applyAlignment="1" applyProtection="1">
      <alignment horizontal="left" vertical="center" wrapText="1"/>
    </xf>
    <xf numFmtId="0" fontId="28" fillId="0" borderId="24" xfId="0" applyFont="1" applyBorder="1" applyAlignment="1" applyProtection="1">
      <alignment horizontal="left" vertical="center" wrapText="1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27" fillId="0" borderId="24" xfId="0" applyFont="1" applyBorder="1" applyAlignment="1" applyProtection="1">
      <alignment horizontal="center" vertical="center" wrapText="1"/>
      <protection locked="0"/>
    </xf>
    <xf numFmtId="0" fontId="26" fillId="2" borderId="35" xfId="0" applyFont="1" applyFill="1" applyBorder="1" applyAlignment="1" applyProtection="1">
      <alignment horizontal="center" textRotation="90" wrapText="1"/>
      <protection locked="0"/>
    </xf>
    <xf numFmtId="0" fontId="26" fillId="2" borderId="31" xfId="0" applyFont="1" applyFill="1" applyBorder="1" applyAlignment="1" applyProtection="1">
      <alignment horizontal="center" textRotation="90"/>
      <protection locked="0"/>
    </xf>
  </cellXfs>
  <cellStyles count="4">
    <cellStyle name="Normal 2" xfId="3"/>
    <cellStyle name="Normal_3.2 Budget des documents (version TEM)" xfId="2"/>
    <cellStyle name="Normal_Woche 1" xfId="1"/>
    <cellStyle name="Standard" xfId="0" builtinId="0"/>
  </cellStyles>
  <dxfs count="0"/>
  <tableStyles count="0" defaultTableStyle="TableStyleMedium9" defaultPivotStyle="PivotStyleLight16"/>
  <colors>
    <mruColors>
      <color rgb="FFFF6699"/>
      <color rgb="FF00B050"/>
      <color rgb="FFFF3399"/>
      <color rgb="FFFFCCFF"/>
      <color rgb="FFFF99FF"/>
      <color rgb="FF47FF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</xdr:colOff>
      <xdr:row>65</xdr:row>
      <xdr:rowOff>0</xdr:rowOff>
    </xdr:from>
    <xdr:to>
      <xdr:col>52</xdr:col>
      <xdr:colOff>1</xdr:colOff>
      <xdr:row>71</xdr:row>
      <xdr:rowOff>0</xdr:rowOff>
    </xdr:to>
    <xdr:sp macro="" textlink="">
      <xdr:nvSpPr>
        <xdr:cNvPr id="25" name="Textfeld 117"/>
        <xdr:cNvSpPr txBox="1"/>
      </xdr:nvSpPr>
      <xdr:spPr>
        <a:xfrm>
          <a:off x="9513095" y="10346531"/>
          <a:ext cx="1809750" cy="85725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Korpsvisite Kdt Ter Div 2</a:t>
          </a:r>
        </a:p>
      </xdr:txBody>
    </xdr:sp>
    <xdr:clientData/>
  </xdr:twoCellAnchor>
  <xdr:twoCellAnchor>
    <xdr:from>
      <xdr:col>30</xdr:col>
      <xdr:colOff>1</xdr:colOff>
      <xdr:row>33</xdr:row>
      <xdr:rowOff>2800</xdr:rowOff>
    </xdr:from>
    <xdr:to>
      <xdr:col>40</xdr:col>
      <xdr:colOff>0</xdr:colOff>
      <xdr:row>37</xdr:row>
      <xdr:rowOff>0</xdr:rowOff>
    </xdr:to>
    <xdr:sp macro="" textlink="">
      <xdr:nvSpPr>
        <xdr:cNvPr id="44" name="Textfeld 225"/>
        <xdr:cNvSpPr txBox="1"/>
      </xdr:nvSpPr>
      <xdr:spPr>
        <a:xfrm>
          <a:off x="6534151" y="5774950"/>
          <a:ext cx="2285999" cy="5687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Mittagessen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30</xdr:col>
      <xdr:colOff>1</xdr:colOff>
      <xdr:row>77</xdr:row>
      <xdr:rowOff>0</xdr:rowOff>
    </xdr:from>
    <xdr:to>
      <xdr:col>40</xdr:col>
      <xdr:colOff>0</xdr:colOff>
      <xdr:row>78</xdr:row>
      <xdr:rowOff>0</xdr:rowOff>
    </xdr:to>
    <xdr:sp macro="" textlink="">
      <xdr:nvSpPr>
        <xdr:cNvPr id="57" name="Textfeld 225"/>
        <xdr:cNvSpPr txBox="1"/>
      </xdr:nvSpPr>
      <xdr:spPr>
        <a:xfrm>
          <a:off x="6534151" y="12058650"/>
          <a:ext cx="2285999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2300 - ABV</a:t>
          </a:r>
        </a:p>
      </xdr:txBody>
    </xdr:sp>
    <xdr:clientData/>
  </xdr:twoCellAnchor>
  <xdr:twoCellAnchor>
    <xdr:from>
      <xdr:col>44</xdr:col>
      <xdr:colOff>0</xdr:colOff>
      <xdr:row>77</xdr:row>
      <xdr:rowOff>0</xdr:rowOff>
    </xdr:from>
    <xdr:to>
      <xdr:col>54</xdr:col>
      <xdr:colOff>0</xdr:colOff>
      <xdr:row>78</xdr:row>
      <xdr:rowOff>0</xdr:rowOff>
    </xdr:to>
    <xdr:sp macro="" textlink="">
      <xdr:nvSpPr>
        <xdr:cNvPr id="58" name="Textfeld 225"/>
        <xdr:cNvSpPr txBox="1"/>
      </xdr:nvSpPr>
      <xdr:spPr>
        <a:xfrm>
          <a:off x="9582150" y="12058650"/>
          <a:ext cx="228600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2300 - ABV</a:t>
          </a:r>
        </a:p>
      </xdr:txBody>
    </xdr:sp>
    <xdr:clientData/>
  </xdr:twoCellAnchor>
  <xdr:twoCellAnchor>
    <xdr:from>
      <xdr:col>71</xdr:col>
      <xdr:colOff>57149</xdr:colOff>
      <xdr:row>77</xdr:row>
      <xdr:rowOff>0</xdr:rowOff>
    </xdr:from>
    <xdr:to>
      <xdr:col>82</xdr:col>
      <xdr:colOff>0</xdr:colOff>
      <xdr:row>79</xdr:row>
      <xdr:rowOff>0</xdr:rowOff>
    </xdr:to>
    <xdr:sp macro="" textlink="">
      <xdr:nvSpPr>
        <xdr:cNvPr id="67" name="Textfeld 117"/>
        <xdr:cNvSpPr txBox="1"/>
      </xdr:nvSpPr>
      <xdr:spPr>
        <a:xfrm>
          <a:off x="15559087" y="12061031"/>
          <a:ext cx="2145507" cy="285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Einrücken 2300</a:t>
          </a:r>
          <a:endParaRPr lang="de-CH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88</xdr:col>
      <xdr:colOff>66675</xdr:colOff>
      <xdr:row>80</xdr:row>
      <xdr:rowOff>9525</xdr:rowOff>
    </xdr:from>
    <xdr:to>
      <xdr:col>90</xdr:col>
      <xdr:colOff>390525</xdr:colOff>
      <xdr:row>82</xdr:row>
      <xdr:rowOff>84550</xdr:rowOff>
    </xdr:to>
    <xdr:pic>
      <xdr:nvPicPr>
        <xdr:cNvPr id="60" name="Grafik 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14269" y="12499181"/>
          <a:ext cx="752475" cy="360775"/>
        </a:xfrm>
        <a:prstGeom prst="rect">
          <a:avLst/>
        </a:prstGeom>
      </xdr:spPr>
    </xdr:pic>
    <xdr:clientData/>
  </xdr:twoCellAnchor>
  <xdr:twoCellAnchor>
    <xdr:from>
      <xdr:col>16</xdr:col>
      <xdr:colOff>0</xdr:colOff>
      <xdr:row>19</xdr:row>
      <xdr:rowOff>0</xdr:rowOff>
    </xdr:from>
    <xdr:to>
      <xdr:col>22</xdr:col>
      <xdr:colOff>1</xdr:colOff>
      <xdr:row>21</xdr:row>
      <xdr:rowOff>0</xdr:rowOff>
    </xdr:to>
    <xdr:sp macro="" textlink="">
      <xdr:nvSpPr>
        <xdr:cNvPr id="61" name="Textfeld 117"/>
        <xdr:cNvSpPr txBox="1"/>
      </xdr:nvSpPr>
      <xdr:spPr>
        <a:xfrm>
          <a:off x="3464719" y="3774281"/>
          <a:ext cx="1357313" cy="285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Einrücken Kp Kdt / höh Uof / Ber Of</a:t>
          </a:r>
        </a:p>
      </xdr:txBody>
    </xdr:sp>
    <xdr:clientData/>
  </xdr:twoCellAnchor>
  <xdr:twoCellAnchor>
    <xdr:from>
      <xdr:col>16</xdr:col>
      <xdr:colOff>0</xdr:colOff>
      <xdr:row>21</xdr:row>
      <xdr:rowOff>0</xdr:rowOff>
    </xdr:from>
    <xdr:to>
      <xdr:col>22</xdr:col>
      <xdr:colOff>0</xdr:colOff>
      <xdr:row>25</xdr:row>
      <xdr:rowOff>0</xdr:rowOff>
    </xdr:to>
    <xdr:sp macro="" textlink="">
      <xdr:nvSpPr>
        <xdr:cNvPr id="62" name="Textfeld 117"/>
        <xdr:cNvSpPr txBox="1"/>
      </xdr:nvSpPr>
      <xdr:spPr>
        <a:xfrm>
          <a:off x="3464719" y="4060031"/>
          <a:ext cx="1357312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Eintrittsrapport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16</xdr:col>
      <xdr:colOff>0</xdr:colOff>
      <xdr:row>25</xdr:row>
      <xdr:rowOff>0</xdr:rowOff>
    </xdr:from>
    <xdr:to>
      <xdr:col>22</xdr:col>
      <xdr:colOff>0</xdr:colOff>
      <xdr:row>33</xdr:row>
      <xdr:rowOff>0</xdr:rowOff>
    </xdr:to>
    <xdr:sp macro="" textlink="">
      <xdr:nvSpPr>
        <xdr:cNvPr id="68" name="Textfeld 117"/>
        <xdr:cNvSpPr txBox="1"/>
      </xdr:nvSpPr>
      <xdr:spPr>
        <a:xfrm>
          <a:off x="3464719" y="4631531"/>
          <a:ext cx="1357312" cy="1143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Bezug Ukft / 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2</xdr:col>
      <xdr:colOff>2102</xdr:colOff>
      <xdr:row>10</xdr:row>
      <xdr:rowOff>142874</xdr:rowOff>
    </xdr:from>
    <xdr:to>
      <xdr:col>12</xdr:col>
      <xdr:colOff>0</xdr:colOff>
      <xdr:row>79</xdr:row>
      <xdr:rowOff>0</xdr:rowOff>
    </xdr:to>
    <xdr:sp macro="" textlink="">
      <xdr:nvSpPr>
        <xdr:cNvPr id="69" name="Textfeld 225"/>
        <xdr:cNvSpPr txBox="1"/>
      </xdr:nvSpPr>
      <xdr:spPr>
        <a:xfrm>
          <a:off x="442633" y="2631280"/>
          <a:ext cx="2260086" cy="971550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16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Pfingsten</a:t>
          </a:r>
        </a:p>
      </xdr:txBody>
    </xdr:sp>
    <xdr:clientData/>
  </xdr:twoCellAnchor>
  <xdr:twoCellAnchor>
    <xdr:from>
      <xdr:col>22</xdr:col>
      <xdr:colOff>0</xdr:colOff>
      <xdr:row>29</xdr:row>
      <xdr:rowOff>2801</xdr:rowOff>
    </xdr:from>
    <xdr:to>
      <xdr:col>26</xdr:col>
      <xdr:colOff>0</xdr:colOff>
      <xdr:row>31</xdr:row>
      <xdr:rowOff>0</xdr:rowOff>
    </xdr:to>
    <xdr:sp macro="" textlink="">
      <xdr:nvSpPr>
        <xdr:cNvPr id="70" name="Textfeld 117"/>
        <xdr:cNvSpPr txBox="1"/>
      </xdr:nvSpPr>
      <xdr:spPr>
        <a:xfrm>
          <a:off x="4822031" y="5205832"/>
          <a:ext cx="904875" cy="28294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21</a:t>
          </a:r>
        </a:p>
      </xdr:txBody>
    </xdr:sp>
    <xdr:clientData/>
  </xdr:twoCellAnchor>
  <xdr:twoCellAnchor>
    <xdr:from>
      <xdr:col>22</xdr:col>
      <xdr:colOff>0</xdr:colOff>
      <xdr:row>31</xdr:row>
      <xdr:rowOff>1</xdr:rowOff>
    </xdr:from>
    <xdr:to>
      <xdr:col>25</xdr:col>
      <xdr:colOff>226217</xdr:colOff>
      <xdr:row>33</xdr:row>
      <xdr:rowOff>1</xdr:rowOff>
    </xdr:to>
    <xdr:sp macro="" textlink="">
      <xdr:nvSpPr>
        <xdr:cNvPr id="73" name="Textfeld 117"/>
        <xdr:cNvSpPr txBox="1"/>
      </xdr:nvSpPr>
      <xdr:spPr>
        <a:xfrm>
          <a:off x="4822031" y="5488782"/>
          <a:ext cx="904874" cy="285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15</xdr:col>
      <xdr:colOff>59530</xdr:colOff>
      <xdr:row>73</xdr:row>
      <xdr:rowOff>0</xdr:rowOff>
    </xdr:from>
    <xdr:to>
      <xdr:col>26</xdr:col>
      <xdr:colOff>0</xdr:colOff>
      <xdr:row>78</xdr:row>
      <xdr:rowOff>0</xdr:rowOff>
    </xdr:to>
    <xdr:sp macro="" textlink="">
      <xdr:nvSpPr>
        <xdr:cNvPr id="79" name="Textfeld 117"/>
        <xdr:cNvSpPr txBox="1"/>
      </xdr:nvSpPr>
      <xdr:spPr>
        <a:xfrm>
          <a:off x="3464718" y="11489531"/>
          <a:ext cx="2262188" cy="7143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Mat Fsg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Kas</a:t>
          </a:r>
        </a:p>
      </xdr:txBody>
    </xdr:sp>
    <xdr:clientData/>
  </xdr:twoCellAnchor>
  <xdr:twoCellAnchor>
    <xdr:from>
      <xdr:col>16</xdr:col>
      <xdr:colOff>0</xdr:colOff>
      <xdr:row>61</xdr:row>
      <xdr:rowOff>1</xdr:rowOff>
    </xdr:from>
    <xdr:to>
      <xdr:col>26</xdr:col>
      <xdr:colOff>1</xdr:colOff>
      <xdr:row>65</xdr:row>
      <xdr:rowOff>0</xdr:rowOff>
    </xdr:to>
    <xdr:sp macro="" textlink="">
      <xdr:nvSpPr>
        <xdr:cNvPr id="83" name="Textfeld 117"/>
        <xdr:cNvSpPr txBox="1"/>
      </xdr:nvSpPr>
      <xdr:spPr>
        <a:xfrm>
          <a:off x="3464719" y="9775032"/>
          <a:ext cx="2262188" cy="571499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Kader KICK OFF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HMV Kp Kdt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Ukft</a:t>
          </a:r>
        </a:p>
      </xdr:txBody>
    </xdr:sp>
    <xdr:clientData/>
  </xdr:twoCellAnchor>
  <xdr:twoCellAnchor>
    <xdr:from>
      <xdr:col>16</xdr:col>
      <xdr:colOff>2101</xdr:colOff>
      <xdr:row>33</xdr:row>
      <xdr:rowOff>2800</xdr:rowOff>
    </xdr:from>
    <xdr:to>
      <xdr:col>26</xdr:col>
      <xdr:colOff>0</xdr:colOff>
      <xdr:row>37</xdr:row>
      <xdr:rowOff>0</xdr:rowOff>
    </xdr:to>
    <xdr:sp macro="" textlink="">
      <xdr:nvSpPr>
        <xdr:cNvPr id="87" name="Textfeld 225"/>
        <xdr:cNvSpPr txBox="1"/>
      </xdr:nvSpPr>
      <xdr:spPr>
        <a:xfrm>
          <a:off x="3488251" y="5774950"/>
          <a:ext cx="2283899" cy="5687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Mittagessen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gem Qm</a:t>
          </a:r>
        </a:p>
      </xdr:txBody>
    </xdr:sp>
    <xdr:clientData/>
  </xdr:twoCellAnchor>
  <xdr:twoCellAnchor>
    <xdr:from>
      <xdr:col>16</xdr:col>
      <xdr:colOff>0</xdr:colOff>
      <xdr:row>57</xdr:row>
      <xdr:rowOff>2800</xdr:rowOff>
    </xdr:from>
    <xdr:to>
      <xdr:col>26</xdr:col>
      <xdr:colOff>0</xdr:colOff>
      <xdr:row>61</xdr:row>
      <xdr:rowOff>0</xdr:rowOff>
    </xdr:to>
    <xdr:sp macro="" textlink="">
      <xdr:nvSpPr>
        <xdr:cNvPr id="91" name="Textfeld 225"/>
        <xdr:cNvSpPr txBox="1"/>
      </xdr:nvSpPr>
      <xdr:spPr>
        <a:xfrm>
          <a:off x="3486150" y="9203950"/>
          <a:ext cx="2286000" cy="5687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Nachtessen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gem Qm</a:t>
          </a:r>
        </a:p>
      </xdr:txBody>
    </xdr:sp>
    <xdr:clientData/>
  </xdr:twoCellAnchor>
  <xdr:twoCellAnchor>
    <xdr:from>
      <xdr:col>42</xdr:col>
      <xdr:colOff>0</xdr:colOff>
      <xdr:row>8</xdr:row>
      <xdr:rowOff>0</xdr:rowOff>
    </xdr:from>
    <xdr:to>
      <xdr:col>43</xdr:col>
      <xdr:colOff>0</xdr:colOff>
      <xdr:row>10</xdr:row>
      <xdr:rowOff>0</xdr:rowOff>
    </xdr:to>
    <xdr:sp macro="" textlink="">
      <xdr:nvSpPr>
        <xdr:cNvPr id="94" name="Textfeld 193"/>
        <xdr:cNvSpPr txBox="1"/>
      </xdr:nvSpPr>
      <xdr:spPr>
        <a:xfrm>
          <a:off x="9203531" y="2202656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30</xdr:col>
      <xdr:colOff>11907</xdr:colOff>
      <xdr:row>10</xdr:row>
      <xdr:rowOff>11906</xdr:rowOff>
    </xdr:from>
    <xdr:to>
      <xdr:col>40</xdr:col>
      <xdr:colOff>11907</xdr:colOff>
      <xdr:row>11</xdr:row>
      <xdr:rowOff>11906</xdr:rowOff>
    </xdr:to>
    <xdr:sp macro="" textlink="">
      <xdr:nvSpPr>
        <xdr:cNvPr id="99" name="Textfeld 225"/>
        <xdr:cNvSpPr txBox="1"/>
      </xdr:nvSpPr>
      <xdr:spPr>
        <a:xfrm>
          <a:off x="6500813" y="2500312"/>
          <a:ext cx="2262188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0615- AV</a:t>
          </a:r>
        </a:p>
      </xdr:txBody>
    </xdr:sp>
    <xdr:clientData/>
  </xdr:twoCellAnchor>
  <xdr:twoCellAnchor>
    <xdr:from>
      <xdr:col>44</xdr:col>
      <xdr:colOff>2102</xdr:colOff>
      <xdr:row>8</xdr:row>
      <xdr:rowOff>1</xdr:rowOff>
    </xdr:from>
    <xdr:to>
      <xdr:col>54</xdr:col>
      <xdr:colOff>0</xdr:colOff>
      <xdr:row>10</xdr:row>
      <xdr:rowOff>1</xdr:rowOff>
    </xdr:to>
    <xdr:sp macro="" textlink="">
      <xdr:nvSpPr>
        <xdr:cNvPr id="100" name="Textfeld 225"/>
        <xdr:cNvSpPr txBox="1"/>
      </xdr:nvSpPr>
      <xdr:spPr>
        <a:xfrm>
          <a:off x="9515196" y="2202657"/>
          <a:ext cx="2260085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Ukft</a:t>
          </a:r>
        </a:p>
      </xdr:txBody>
    </xdr:sp>
    <xdr:clientData/>
  </xdr:twoCellAnchor>
  <xdr:twoCellAnchor>
    <xdr:from>
      <xdr:col>44</xdr:col>
      <xdr:colOff>0</xdr:colOff>
      <xdr:row>10</xdr:row>
      <xdr:rowOff>0</xdr:rowOff>
    </xdr:from>
    <xdr:to>
      <xdr:col>54</xdr:col>
      <xdr:colOff>0</xdr:colOff>
      <xdr:row>11</xdr:row>
      <xdr:rowOff>0</xdr:rowOff>
    </xdr:to>
    <xdr:sp macro="" textlink="">
      <xdr:nvSpPr>
        <xdr:cNvPr id="101" name="Textfeld 225"/>
        <xdr:cNvSpPr txBox="1"/>
      </xdr:nvSpPr>
      <xdr:spPr>
        <a:xfrm>
          <a:off x="9513094" y="2488406"/>
          <a:ext cx="2262187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0615 - AV</a:t>
          </a:r>
        </a:p>
      </xdr:txBody>
    </xdr:sp>
    <xdr:clientData/>
  </xdr:twoCellAnchor>
  <xdr:twoCellAnchor>
    <xdr:from>
      <xdr:col>58</xdr:col>
      <xdr:colOff>2103</xdr:colOff>
      <xdr:row>8</xdr:row>
      <xdr:rowOff>0</xdr:rowOff>
    </xdr:from>
    <xdr:to>
      <xdr:col>68</xdr:col>
      <xdr:colOff>0</xdr:colOff>
      <xdr:row>10</xdr:row>
      <xdr:rowOff>1</xdr:rowOff>
    </xdr:to>
    <xdr:sp macro="" textlink="">
      <xdr:nvSpPr>
        <xdr:cNvPr id="102" name="Textfeld 225"/>
        <xdr:cNvSpPr txBox="1"/>
      </xdr:nvSpPr>
      <xdr:spPr>
        <a:xfrm>
          <a:off x="12539384" y="2202656"/>
          <a:ext cx="2260085" cy="285751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Ukft</a:t>
          </a:r>
        </a:p>
      </xdr:txBody>
    </xdr:sp>
    <xdr:clientData/>
  </xdr:twoCellAnchor>
  <xdr:twoCellAnchor>
    <xdr:from>
      <xdr:col>58</xdr:col>
      <xdr:colOff>1</xdr:colOff>
      <xdr:row>10</xdr:row>
      <xdr:rowOff>0</xdr:rowOff>
    </xdr:from>
    <xdr:to>
      <xdr:col>68</xdr:col>
      <xdr:colOff>1</xdr:colOff>
      <xdr:row>11</xdr:row>
      <xdr:rowOff>0</xdr:rowOff>
    </xdr:to>
    <xdr:sp macro="" textlink="">
      <xdr:nvSpPr>
        <xdr:cNvPr id="103" name="Textfeld 225"/>
        <xdr:cNvSpPr txBox="1"/>
      </xdr:nvSpPr>
      <xdr:spPr>
        <a:xfrm>
          <a:off x="12537282" y="2488406"/>
          <a:ext cx="2262188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0615 - AV</a:t>
          </a:r>
        </a:p>
      </xdr:txBody>
    </xdr:sp>
    <xdr:clientData/>
  </xdr:twoCellAnchor>
  <xdr:twoCellAnchor>
    <xdr:from>
      <xdr:col>16</xdr:col>
      <xdr:colOff>0</xdr:colOff>
      <xdr:row>81</xdr:row>
      <xdr:rowOff>0</xdr:rowOff>
    </xdr:from>
    <xdr:to>
      <xdr:col>26</xdr:col>
      <xdr:colOff>0</xdr:colOff>
      <xdr:row>82</xdr:row>
      <xdr:rowOff>0</xdr:rowOff>
    </xdr:to>
    <xdr:sp macro="" textlink="">
      <xdr:nvSpPr>
        <xdr:cNvPr id="105" name="Textfeld 225"/>
        <xdr:cNvSpPr txBox="1"/>
      </xdr:nvSpPr>
      <xdr:spPr>
        <a:xfrm>
          <a:off x="3464719" y="12632531"/>
          <a:ext cx="2262187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2400 - ABV</a:t>
          </a:r>
        </a:p>
      </xdr:txBody>
    </xdr:sp>
    <xdr:clientData/>
  </xdr:twoCellAnchor>
  <xdr:twoCellAnchor>
    <xdr:from>
      <xdr:col>58</xdr:col>
      <xdr:colOff>0</xdr:colOff>
      <xdr:row>61</xdr:row>
      <xdr:rowOff>0</xdr:rowOff>
    </xdr:from>
    <xdr:to>
      <xdr:col>68</xdr:col>
      <xdr:colOff>0</xdr:colOff>
      <xdr:row>64</xdr:row>
      <xdr:rowOff>0</xdr:rowOff>
    </xdr:to>
    <xdr:sp macro="" textlink="">
      <xdr:nvSpPr>
        <xdr:cNvPr id="106" name="Text 693"/>
        <xdr:cNvSpPr txBox="1">
          <a:spLocks noChangeArrowheads="1"/>
        </xdr:cNvSpPr>
      </xdr:nvSpPr>
      <xdr:spPr bwMode="auto">
        <a:xfrm>
          <a:off x="12630150" y="9772650"/>
          <a:ext cx="2286000" cy="428625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Wochenendurlaub bis Sonntag, 07.06.2020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gem Bf</a:t>
          </a:r>
        </a:p>
      </xdr:txBody>
    </xdr:sp>
    <xdr:clientData/>
  </xdr:twoCellAnchor>
  <xdr:twoCellAnchor>
    <xdr:from>
      <xdr:col>30</xdr:col>
      <xdr:colOff>0</xdr:colOff>
      <xdr:row>15</xdr:row>
      <xdr:rowOff>0</xdr:rowOff>
    </xdr:from>
    <xdr:to>
      <xdr:col>35</xdr:col>
      <xdr:colOff>226216</xdr:colOff>
      <xdr:row>33</xdr:row>
      <xdr:rowOff>0</xdr:rowOff>
    </xdr:to>
    <xdr:sp macro="" textlink="">
      <xdr:nvSpPr>
        <xdr:cNvPr id="108" name="Textfeld 117"/>
        <xdr:cNvSpPr txBox="1"/>
      </xdr:nvSpPr>
      <xdr:spPr>
        <a:xfrm>
          <a:off x="6488906" y="3202781"/>
          <a:ext cx="1357310" cy="2571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56</xdr:col>
      <xdr:colOff>0</xdr:colOff>
      <xdr:row>7</xdr:row>
      <xdr:rowOff>130969</xdr:rowOff>
    </xdr:from>
    <xdr:to>
      <xdr:col>57</xdr:col>
      <xdr:colOff>0</xdr:colOff>
      <xdr:row>9</xdr:row>
      <xdr:rowOff>130969</xdr:rowOff>
    </xdr:to>
    <xdr:sp macro="" textlink="">
      <xdr:nvSpPr>
        <xdr:cNvPr id="112" name="Textfeld 193"/>
        <xdr:cNvSpPr txBox="1"/>
      </xdr:nvSpPr>
      <xdr:spPr>
        <a:xfrm>
          <a:off x="12227719" y="2190750"/>
          <a:ext cx="250031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70</xdr:col>
      <xdr:colOff>0</xdr:colOff>
      <xdr:row>7</xdr:row>
      <xdr:rowOff>130969</xdr:rowOff>
    </xdr:from>
    <xdr:to>
      <xdr:col>70</xdr:col>
      <xdr:colOff>246529</xdr:colOff>
      <xdr:row>9</xdr:row>
      <xdr:rowOff>128168</xdr:rowOff>
    </xdr:to>
    <xdr:sp macro="" textlink="">
      <xdr:nvSpPr>
        <xdr:cNvPr id="113" name="Textfeld 193"/>
        <xdr:cNvSpPr txBox="1"/>
      </xdr:nvSpPr>
      <xdr:spPr>
        <a:xfrm>
          <a:off x="15251906" y="2190750"/>
          <a:ext cx="246529" cy="282949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KR</a:t>
          </a:r>
        </a:p>
      </xdr:txBody>
    </xdr:sp>
    <xdr:clientData/>
  </xdr:twoCellAnchor>
  <xdr:twoCellAnchor>
    <xdr:from>
      <xdr:col>44</xdr:col>
      <xdr:colOff>0</xdr:colOff>
      <xdr:row>15</xdr:row>
      <xdr:rowOff>0</xdr:rowOff>
    </xdr:from>
    <xdr:to>
      <xdr:col>46</xdr:col>
      <xdr:colOff>3502</xdr:colOff>
      <xdr:row>33</xdr:row>
      <xdr:rowOff>0</xdr:rowOff>
    </xdr:to>
    <xdr:sp macro="" textlink="">
      <xdr:nvSpPr>
        <xdr:cNvPr id="114" name="Textfeld 117"/>
        <xdr:cNvSpPr txBox="1"/>
      </xdr:nvSpPr>
      <xdr:spPr>
        <a:xfrm>
          <a:off x="9513094" y="3202781"/>
          <a:ext cx="455939" cy="257175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Ausb Kdt Inf Bat 56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gem Bf</a:t>
          </a:r>
        </a:p>
      </xdr:txBody>
    </xdr:sp>
    <xdr:clientData/>
  </xdr:twoCellAnchor>
  <xdr:twoCellAnchor>
    <xdr:from>
      <xdr:col>30</xdr:col>
      <xdr:colOff>0</xdr:colOff>
      <xdr:row>37</xdr:row>
      <xdr:rowOff>0</xdr:rowOff>
    </xdr:from>
    <xdr:to>
      <xdr:col>36</xdr:col>
      <xdr:colOff>0</xdr:colOff>
      <xdr:row>57</xdr:row>
      <xdr:rowOff>0</xdr:rowOff>
    </xdr:to>
    <xdr:sp macro="" textlink="">
      <xdr:nvSpPr>
        <xdr:cNvPr id="116" name="Textfeld 117"/>
        <xdr:cNvSpPr txBox="1"/>
      </xdr:nvSpPr>
      <xdr:spPr>
        <a:xfrm>
          <a:off x="6488906" y="6346031"/>
          <a:ext cx="1357313" cy="2857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44</xdr:col>
      <xdr:colOff>0</xdr:colOff>
      <xdr:row>30</xdr:row>
      <xdr:rowOff>0</xdr:rowOff>
    </xdr:from>
    <xdr:to>
      <xdr:col>54</xdr:col>
      <xdr:colOff>0</xdr:colOff>
      <xdr:row>34</xdr:row>
      <xdr:rowOff>0</xdr:rowOff>
    </xdr:to>
    <xdr:sp macro="" textlink="">
      <xdr:nvSpPr>
        <xdr:cNvPr id="123" name="Textfeld 225"/>
        <xdr:cNvSpPr txBox="1"/>
      </xdr:nvSpPr>
      <xdr:spPr>
        <a:xfrm>
          <a:off x="9513094" y="5345906"/>
          <a:ext cx="2262187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Mittagessen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42</xdr:col>
      <xdr:colOff>0</xdr:colOff>
      <xdr:row>63</xdr:row>
      <xdr:rowOff>0</xdr:rowOff>
    </xdr:from>
    <xdr:to>
      <xdr:col>43</xdr:col>
      <xdr:colOff>0</xdr:colOff>
      <xdr:row>65</xdr:row>
      <xdr:rowOff>0</xdr:rowOff>
    </xdr:to>
    <xdr:sp macro="" textlink="">
      <xdr:nvSpPr>
        <xdr:cNvPr id="124" name="Textfeld 193"/>
        <xdr:cNvSpPr txBox="1"/>
      </xdr:nvSpPr>
      <xdr:spPr>
        <a:xfrm>
          <a:off x="9203531" y="1006078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44</xdr:col>
      <xdr:colOff>1</xdr:colOff>
      <xdr:row>57</xdr:row>
      <xdr:rowOff>0</xdr:rowOff>
    </xdr:from>
    <xdr:to>
      <xdr:col>52</xdr:col>
      <xdr:colOff>0</xdr:colOff>
      <xdr:row>61</xdr:row>
      <xdr:rowOff>0</xdr:rowOff>
    </xdr:to>
    <xdr:sp macro="" textlink="">
      <xdr:nvSpPr>
        <xdr:cNvPr id="127" name="Textfeld 225"/>
        <xdr:cNvSpPr txBox="1"/>
      </xdr:nvSpPr>
      <xdr:spPr>
        <a:xfrm>
          <a:off x="9513095" y="9203531"/>
          <a:ext cx="1809749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Nachtessen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58</xdr:col>
      <xdr:colOff>0</xdr:colOff>
      <xdr:row>17</xdr:row>
      <xdr:rowOff>0</xdr:rowOff>
    </xdr:from>
    <xdr:to>
      <xdr:col>60</xdr:col>
      <xdr:colOff>0</xdr:colOff>
      <xdr:row>27</xdr:row>
      <xdr:rowOff>0</xdr:rowOff>
    </xdr:to>
    <xdr:sp macro="" textlink="">
      <xdr:nvSpPr>
        <xdr:cNvPr id="128" name="Textfeld 193"/>
        <xdr:cNvSpPr txBox="1"/>
      </xdr:nvSpPr>
      <xdr:spPr>
        <a:xfrm>
          <a:off x="12537281" y="3488531"/>
          <a:ext cx="452438" cy="1428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Bat Rap</a:t>
          </a:r>
        </a:p>
      </xdr:txBody>
    </xdr:sp>
    <xdr:clientData/>
  </xdr:twoCellAnchor>
  <xdr:twoCellAnchor>
    <xdr:from>
      <xdr:col>56</xdr:col>
      <xdr:colOff>0</xdr:colOff>
      <xdr:row>61</xdr:row>
      <xdr:rowOff>0</xdr:rowOff>
    </xdr:from>
    <xdr:to>
      <xdr:col>57</xdr:col>
      <xdr:colOff>0</xdr:colOff>
      <xdr:row>65</xdr:row>
      <xdr:rowOff>0</xdr:rowOff>
    </xdr:to>
    <xdr:sp macro="" textlink="">
      <xdr:nvSpPr>
        <xdr:cNvPr id="130" name="Textfeld 117"/>
        <xdr:cNvSpPr txBox="1"/>
      </xdr:nvSpPr>
      <xdr:spPr>
        <a:xfrm>
          <a:off x="12227719" y="9775031"/>
          <a:ext cx="250031" cy="571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42</a:t>
          </a:r>
        </a:p>
      </xdr:txBody>
    </xdr:sp>
    <xdr:clientData/>
  </xdr:twoCellAnchor>
  <xdr:twoCellAnchor>
    <xdr:from>
      <xdr:col>44</xdr:col>
      <xdr:colOff>0</xdr:colOff>
      <xdr:row>34</xdr:row>
      <xdr:rowOff>0</xdr:rowOff>
    </xdr:from>
    <xdr:to>
      <xdr:col>50</xdr:col>
      <xdr:colOff>0</xdr:colOff>
      <xdr:row>57</xdr:row>
      <xdr:rowOff>0</xdr:rowOff>
    </xdr:to>
    <xdr:sp macro="" textlink="">
      <xdr:nvSpPr>
        <xdr:cNvPr id="131" name="Textfeld 117"/>
        <xdr:cNvSpPr txBox="1"/>
      </xdr:nvSpPr>
      <xdr:spPr>
        <a:xfrm>
          <a:off x="9513094" y="5917406"/>
          <a:ext cx="1357312" cy="32861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64</xdr:col>
      <xdr:colOff>0</xdr:colOff>
      <xdr:row>13</xdr:row>
      <xdr:rowOff>0</xdr:rowOff>
    </xdr:from>
    <xdr:to>
      <xdr:col>68</xdr:col>
      <xdr:colOff>0</xdr:colOff>
      <xdr:row>33</xdr:row>
      <xdr:rowOff>0</xdr:rowOff>
    </xdr:to>
    <xdr:sp macro="" textlink="">
      <xdr:nvSpPr>
        <xdr:cNvPr id="132" name="Textfeld 117"/>
        <xdr:cNvSpPr txBox="1"/>
      </xdr:nvSpPr>
      <xdr:spPr>
        <a:xfrm>
          <a:off x="13894594" y="2917031"/>
          <a:ext cx="904875" cy="28575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 Ausb Wo 1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 1 + Erk Ausb Stao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Gehren, Fasiswald</a:t>
          </a:r>
        </a:p>
      </xdr:txBody>
    </xdr:sp>
    <xdr:clientData/>
  </xdr:twoCellAnchor>
  <xdr:twoCellAnchor>
    <xdr:from>
      <xdr:col>58</xdr:col>
      <xdr:colOff>0</xdr:colOff>
      <xdr:row>47</xdr:row>
      <xdr:rowOff>0</xdr:rowOff>
    </xdr:from>
    <xdr:to>
      <xdr:col>68</xdr:col>
      <xdr:colOff>0</xdr:colOff>
      <xdr:row>59</xdr:row>
      <xdr:rowOff>0</xdr:rowOff>
    </xdr:to>
    <xdr:sp macro="" textlink="">
      <xdr:nvSpPr>
        <xdr:cNvPr id="134" name="Textfeld 117"/>
        <xdr:cNvSpPr txBox="1"/>
      </xdr:nvSpPr>
      <xdr:spPr>
        <a:xfrm>
          <a:off x="12630150" y="7772400"/>
          <a:ext cx="2286000" cy="1714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Wochenabschlussarbeiten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Check and Go</a:t>
          </a:r>
        </a:p>
      </xdr:txBody>
    </xdr:sp>
    <xdr:clientData/>
  </xdr:twoCellAnchor>
  <xdr:twoCellAnchor>
    <xdr:from>
      <xdr:col>16</xdr:col>
      <xdr:colOff>2101</xdr:colOff>
      <xdr:row>79</xdr:row>
      <xdr:rowOff>0</xdr:rowOff>
    </xdr:from>
    <xdr:to>
      <xdr:col>26</xdr:col>
      <xdr:colOff>0</xdr:colOff>
      <xdr:row>81</xdr:row>
      <xdr:rowOff>0</xdr:rowOff>
    </xdr:to>
    <xdr:sp macro="" textlink="">
      <xdr:nvSpPr>
        <xdr:cNvPr id="138" name="Textfeld 225"/>
        <xdr:cNvSpPr txBox="1"/>
      </xdr:nvSpPr>
      <xdr:spPr>
        <a:xfrm>
          <a:off x="3466820" y="12346781"/>
          <a:ext cx="2260086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30</xdr:col>
      <xdr:colOff>0</xdr:colOff>
      <xdr:row>73</xdr:row>
      <xdr:rowOff>0</xdr:rowOff>
    </xdr:from>
    <xdr:to>
      <xdr:col>40</xdr:col>
      <xdr:colOff>0</xdr:colOff>
      <xdr:row>75</xdr:row>
      <xdr:rowOff>0</xdr:rowOff>
    </xdr:to>
    <xdr:sp macro="" textlink="">
      <xdr:nvSpPr>
        <xdr:cNvPr id="139" name="Textfeld 225"/>
        <xdr:cNvSpPr txBox="1"/>
      </xdr:nvSpPr>
      <xdr:spPr>
        <a:xfrm>
          <a:off x="6488906" y="11489531"/>
          <a:ext cx="2262188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44</xdr:col>
      <xdr:colOff>1</xdr:colOff>
      <xdr:row>73</xdr:row>
      <xdr:rowOff>0</xdr:rowOff>
    </xdr:from>
    <xdr:to>
      <xdr:col>52</xdr:col>
      <xdr:colOff>1</xdr:colOff>
      <xdr:row>75</xdr:row>
      <xdr:rowOff>0</xdr:rowOff>
    </xdr:to>
    <xdr:sp macro="" textlink="">
      <xdr:nvSpPr>
        <xdr:cNvPr id="140" name="Textfeld 225"/>
        <xdr:cNvSpPr txBox="1"/>
      </xdr:nvSpPr>
      <xdr:spPr>
        <a:xfrm>
          <a:off x="9513095" y="11489531"/>
          <a:ext cx="1809750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58</xdr:col>
      <xdr:colOff>1</xdr:colOff>
      <xdr:row>60</xdr:row>
      <xdr:rowOff>0</xdr:rowOff>
    </xdr:from>
    <xdr:to>
      <xdr:col>68</xdr:col>
      <xdr:colOff>1</xdr:colOff>
      <xdr:row>61</xdr:row>
      <xdr:rowOff>0</xdr:rowOff>
    </xdr:to>
    <xdr:sp macro="" textlink="">
      <xdr:nvSpPr>
        <xdr:cNvPr id="141" name="Textfeld 225"/>
        <xdr:cNvSpPr txBox="1"/>
      </xdr:nvSpPr>
      <xdr:spPr>
        <a:xfrm>
          <a:off x="12630151" y="9629775"/>
          <a:ext cx="228600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1845 - HV</a:t>
          </a:r>
        </a:p>
      </xdr:txBody>
    </xdr:sp>
    <xdr:clientData/>
  </xdr:twoCellAnchor>
  <xdr:twoCellAnchor>
    <xdr:from>
      <xdr:col>58</xdr:col>
      <xdr:colOff>0</xdr:colOff>
      <xdr:row>33</xdr:row>
      <xdr:rowOff>0</xdr:rowOff>
    </xdr:from>
    <xdr:to>
      <xdr:col>68</xdr:col>
      <xdr:colOff>0</xdr:colOff>
      <xdr:row>37</xdr:row>
      <xdr:rowOff>0</xdr:rowOff>
    </xdr:to>
    <xdr:sp macro="" textlink="">
      <xdr:nvSpPr>
        <xdr:cNvPr id="143" name="Textfeld 225"/>
        <xdr:cNvSpPr txBox="1"/>
      </xdr:nvSpPr>
      <xdr:spPr>
        <a:xfrm>
          <a:off x="12630150" y="5772150"/>
          <a:ext cx="2286000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Mittagessen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72</xdr:col>
      <xdr:colOff>0</xdr:colOff>
      <xdr:row>79</xdr:row>
      <xdr:rowOff>0</xdr:rowOff>
    </xdr:from>
    <xdr:to>
      <xdr:col>82</xdr:col>
      <xdr:colOff>0</xdr:colOff>
      <xdr:row>80</xdr:row>
      <xdr:rowOff>0</xdr:rowOff>
    </xdr:to>
    <xdr:sp macro="" textlink="">
      <xdr:nvSpPr>
        <xdr:cNvPr id="144" name="Textfeld 225"/>
        <xdr:cNvSpPr txBox="1"/>
      </xdr:nvSpPr>
      <xdr:spPr>
        <a:xfrm>
          <a:off x="15561469" y="12346781"/>
          <a:ext cx="2143125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2330 - ABV</a:t>
          </a:r>
        </a:p>
      </xdr:txBody>
    </xdr:sp>
    <xdr:clientData/>
  </xdr:twoCellAnchor>
  <xdr:twoCellAnchor>
    <xdr:from>
      <xdr:col>16</xdr:col>
      <xdr:colOff>0</xdr:colOff>
      <xdr:row>77</xdr:row>
      <xdr:rowOff>142874</xdr:rowOff>
    </xdr:from>
    <xdr:to>
      <xdr:col>26</xdr:col>
      <xdr:colOff>1</xdr:colOff>
      <xdr:row>79</xdr:row>
      <xdr:rowOff>0</xdr:rowOff>
    </xdr:to>
    <xdr:sp macro="" textlink="">
      <xdr:nvSpPr>
        <xdr:cNvPr id="111" name="Text 693"/>
        <xdr:cNvSpPr txBox="1">
          <a:spLocks noChangeArrowheads="1"/>
        </xdr:cNvSpPr>
      </xdr:nvSpPr>
      <xdr:spPr bwMode="auto">
        <a:xfrm flipV="1">
          <a:off x="3464719" y="12203905"/>
          <a:ext cx="2262188" cy="142876"/>
        </a:xfrm>
        <a:prstGeom prst="rect">
          <a:avLst/>
        </a:prstGeom>
        <a:solidFill>
          <a:schemeClr val="tx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1" i="0" u="none" strike="noStrike" baseline="0">
              <a:solidFill>
                <a:schemeClr val="bg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ALARMÜBUNG</a:t>
          </a:r>
          <a:endParaRPr lang="fr-CH" sz="900" b="0" i="0" u="none" strike="noStrike" baseline="0">
            <a:solidFill>
              <a:schemeClr val="bg1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70</xdr:col>
      <xdr:colOff>0</xdr:colOff>
      <xdr:row>41</xdr:row>
      <xdr:rowOff>0</xdr:rowOff>
    </xdr:from>
    <xdr:to>
      <xdr:col>71</xdr:col>
      <xdr:colOff>0</xdr:colOff>
      <xdr:row>53</xdr:row>
      <xdr:rowOff>0</xdr:rowOff>
    </xdr:to>
    <xdr:sp macro="" textlink="">
      <xdr:nvSpPr>
        <xdr:cNvPr id="110" name="Textfeld 117"/>
        <xdr:cNvSpPr txBox="1"/>
      </xdr:nvSpPr>
      <xdr:spPr>
        <a:xfrm>
          <a:off x="15251906" y="6917531"/>
          <a:ext cx="250032" cy="1714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52</a:t>
          </a:r>
        </a:p>
      </xdr:txBody>
    </xdr:sp>
    <xdr:clientData/>
  </xdr:twoCellAnchor>
  <xdr:twoCellAnchor>
    <xdr:from>
      <xdr:col>30</xdr:col>
      <xdr:colOff>0</xdr:colOff>
      <xdr:row>7</xdr:row>
      <xdr:rowOff>0</xdr:rowOff>
    </xdr:from>
    <xdr:to>
      <xdr:col>40</xdr:col>
      <xdr:colOff>0</xdr:colOff>
      <xdr:row>8</xdr:row>
      <xdr:rowOff>0</xdr:rowOff>
    </xdr:to>
    <xdr:sp macro="" textlink="">
      <xdr:nvSpPr>
        <xdr:cNvPr id="135" name="Textfeld 225"/>
        <xdr:cNvSpPr txBox="1"/>
      </xdr:nvSpPr>
      <xdr:spPr>
        <a:xfrm>
          <a:off x="6534150" y="2057400"/>
          <a:ext cx="228600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0500 Tagwache</a:t>
          </a:r>
        </a:p>
      </xdr:txBody>
    </xdr:sp>
    <xdr:clientData/>
  </xdr:twoCellAnchor>
  <xdr:twoCellAnchor>
    <xdr:from>
      <xdr:col>44</xdr:col>
      <xdr:colOff>0</xdr:colOff>
      <xdr:row>7</xdr:row>
      <xdr:rowOff>0</xdr:rowOff>
    </xdr:from>
    <xdr:to>
      <xdr:col>54</xdr:col>
      <xdr:colOff>0</xdr:colOff>
      <xdr:row>8</xdr:row>
      <xdr:rowOff>0</xdr:rowOff>
    </xdr:to>
    <xdr:sp macro="" textlink="">
      <xdr:nvSpPr>
        <xdr:cNvPr id="152" name="Textfeld 225"/>
        <xdr:cNvSpPr txBox="1"/>
      </xdr:nvSpPr>
      <xdr:spPr>
        <a:xfrm>
          <a:off x="9513094" y="2059781"/>
          <a:ext cx="2262187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58</xdr:col>
      <xdr:colOff>1</xdr:colOff>
      <xdr:row>7</xdr:row>
      <xdr:rowOff>0</xdr:rowOff>
    </xdr:from>
    <xdr:to>
      <xdr:col>68</xdr:col>
      <xdr:colOff>1</xdr:colOff>
      <xdr:row>8</xdr:row>
      <xdr:rowOff>0</xdr:rowOff>
    </xdr:to>
    <xdr:sp macro="" textlink="">
      <xdr:nvSpPr>
        <xdr:cNvPr id="156" name="Textfeld 225"/>
        <xdr:cNvSpPr txBox="1"/>
      </xdr:nvSpPr>
      <xdr:spPr>
        <a:xfrm>
          <a:off x="12537282" y="2059781"/>
          <a:ext cx="2262188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22</xdr:col>
      <xdr:colOff>0</xdr:colOff>
      <xdr:row>39</xdr:row>
      <xdr:rowOff>0</xdr:rowOff>
    </xdr:from>
    <xdr:to>
      <xdr:col>26</xdr:col>
      <xdr:colOff>1</xdr:colOff>
      <xdr:row>47</xdr:row>
      <xdr:rowOff>0</xdr:rowOff>
    </xdr:to>
    <xdr:sp macro="" textlink="">
      <xdr:nvSpPr>
        <xdr:cNvPr id="142" name="Textfeld 117"/>
        <xdr:cNvSpPr txBox="1"/>
      </xdr:nvSpPr>
      <xdr:spPr>
        <a:xfrm>
          <a:off x="4822031" y="6631781"/>
          <a:ext cx="904876" cy="1143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A / D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16</xdr:col>
      <xdr:colOff>0</xdr:colOff>
      <xdr:row>37</xdr:row>
      <xdr:rowOff>1</xdr:rowOff>
    </xdr:from>
    <xdr:to>
      <xdr:col>22</xdr:col>
      <xdr:colOff>1</xdr:colOff>
      <xdr:row>57</xdr:row>
      <xdr:rowOff>1</xdr:rowOff>
    </xdr:to>
    <xdr:sp macro="" textlink="">
      <xdr:nvSpPr>
        <xdr:cNvPr id="148" name="Textfeld 117"/>
        <xdr:cNvSpPr txBox="1"/>
      </xdr:nvSpPr>
      <xdr:spPr>
        <a:xfrm>
          <a:off x="3464719" y="6346032"/>
          <a:ext cx="1357313" cy="2857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16</xdr:col>
      <xdr:colOff>1</xdr:colOff>
      <xdr:row>65</xdr:row>
      <xdr:rowOff>0</xdr:rowOff>
    </xdr:from>
    <xdr:to>
      <xdr:col>26</xdr:col>
      <xdr:colOff>0</xdr:colOff>
      <xdr:row>72</xdr:row>
      <xdr:rowOff>0</xdr:rowOff>
    </xdr:to>
    <xdr:sp macro="" textlink="">
      <xdr:nvSpPr>
        <xdr:cNvPr id="167" name="Textfeld 117"/>
        <xdr:cNvSpPr txBox="1"/>
      </xdr:nvSpPr>
      <xdr:spPr>
        <a:xfrm>
          <a:off x="3464720" y="10346531"/>
          <a:ext cx="2262186" cy="10001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55</xdr:col>
      <xdr:colOff>1</xdr:colOff>
      <xdr:row>18</xdr:row>
      <xdr:rowOff>0</xdr:rowOff>
    </xdr:from>
    <xdr:to>
      <xdr:col>56</xdr:col>
      <xdr:colOff>0</xdr:colOff>
      <xdr:row>34</xdr:row>
      <xdr:rowOff>0</xdr:rowOff>
    </xdr:to>
    <xdr:sp macro="" textlink="">
      <xdr:nvSpPr>
        <xdr:cNvPr id="170" name="Textfeld 117"/>
        <xdr:cNvSpPr txBox="1"/>
      </xdr:nvSpPr>
      <xdr:spPr>
        <a:xfrm>
          <a:off x="12001501" y="3631406"/>
          <a:ext cx="226218" cy="228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Mat Fsg</a:t>
          </a:r>
          <a:endParaRPr lang="de-CH" sz="900">
            <a:effectLst/>
          </a:endParaRPr>
        </a:p>
      </xdr:txBody>
    </xdr:sp>
    <xdr:clientData/>
  </xdr:twoCellAnchor>
  <xdr:twoCellAnchor>
    <xdr:from>
      <xdr:col>30</xdr:col>
      <xdr:colOff>1</xdr:colOff>
      <xdr:row>57</xdr:row>
      <xdr:rowOff>0</xdr:rowOff>
    </xdr:from>
    <xdr:to>
      <xdr:col>40</xdr:col>
      <xdr:colOff>0</xdr:colOff>
      <xdr:row>61</xdr:row>
      <xdr:rowOff>0</xdr:rowOff>
    </xdr:to>
    <xdr:sp macro="" textlink="">
      <xdr:nvSpPr>
        <xdr:cNvPr id="172" name="Textfeld 225"/>
        <xdr:cNvSpPr txBox="1"/>
      </xdr:nvSpPr>
      <xdr:spPr>
        <a:xfrm>
          <a:off x="6488907" y="9203531"/>
          <a:ext cx="2262187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Nachtessen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46</xdr:col>
      <xdr:colOff>3</xdr:colOff>
      <xdr:row>15</xdr:row>
      <xdr:rowOff>0</xdr:rowOff>
    </xdr:from>
    <xdr:to>
      <xdr:col>50</xdr:col>
      <xdr:colOff>0</xdr:colOff>
      <xdr:row>30</xdr:row>
      <xdr:rowOff>0</xdr:rowOff>
    </xdr:to>
    <xdr:sp macro="" textlink="">
      <xdr:nvSpPr>
        <xdr:cNvPr id="174" name="Textfeld 117"/>
        <xdr:cNvSpPr txBox="1"/>
      </xdr:nvSpPr>
      <xdr:spPr>
        <a:xfrm>
          <a:off x="9965534" y="3202781"/>
          <a:ext cx="904872" cy="21431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44</xdr:col>
      <xdr:colOff>0</xdr:colOff>
      <xdr:row>61</xdr:row>
      <xdr:rowOff>0</xdr:rowOff>
    </xdr:from>
    <xdr:to>
      <xdr:col>52</xdr:col>
      <xdr:colOff>0</xdr:colOff>
      <xdr:row>65</xdr:row>
      <xdr:rowOff>0</xdr:rowOff>
    </xdr:to>
    <xdr:sp macro="" textlink="">
      <xdr:nvSpPr>
        <xdr:cNvPr id="178" name="Textfeld 117"/>
        <xdr:cNvSpPr txBox="1"/>
      </xdr:nvSpPr>
      <xdr:spPr>
        <a:xfrm>
          <a:off x="9513094" y="9775031"/>
          <a:ext cx="1809750" cy="571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56</xdr:col>
      <xdr:colOff>0</xdr:colOff>
      <xdr:row>29</xdr:row>
      <xdr:rowOff>0</xdr:rowOff>
    </xdr:from>
    <xdr:to>
      <xdr:col>57</xdr:col>
      <xdr:colOff>0</xdr:colOff>
      <xdr:row>33</xdr:row>
      <xdr:rowOff>0</xdr:rowOff>
    </xdr:to>
    <xdr:sp macro="" textlink="">
      <xdr:nvSpPr>
        <xdr:cNvPr id="179" name="Textfeld 117"/>
        <xdr:cNvSpPr txBox="1"/>
      </xdr:nvSpPr>
      <xdr:spPr>
        <a:xfrm>
          <a:off x="12227719" y="5203031"/>
          <a:ext cx="250031" cy="571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41</a:t>
          </a:r>
        </a:p>
      </xdr:txBody>
    </xdr:sp>
    <xdr:clientData/>
  </xdr:twoCellAnchor>
  <xdr:twoCellAnchor>
    <xdr:from>
      <xdr:col>55</xdr:col>
      <xdr:colOff>226218</xdr:colOff>
      <xdr:row>43</xdr:row>
      <xdr:rowOff>0</xdr:rowOff>
    </xdr:from>
    <xdr:to>
      <xdr:col>57</xdr:col>
      <xdr:colOff>0</xdr:colOff>
      <xdr:row>45</xdr:row>
      <xdr:rowOff>0</xdr:rowOff>
    </xdr:to>
    <xdr:sp macro="" textlink="">
      <xdr:nvSpPr>
        <xdr:cNvPr id="180" name="Textfeld 193"/>
        <xdr:cNvSpPr txBox="1"/>
      </xdr:nvSpPr>
      <xdr:spPr>
        <a:xfrm>
          <a:off x="12227718" y="720328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DR</a:t>
          </a:r>
        </a:p>
      </xdr:txBody>
    </xdr:sp>
    <xdr:clientData/>
  </xdr:twoCellAnchor>
  <xdr:twoCellAnchor>
    <xdr:from>
      <xdr:col>44</xdr:col>
      <xdr:colOff>0</xdr:colOff>
      <xdr:row>71</xdr:row>
      <xdr:rowOff>0</xdr:rowOff>
    </xdr:from>
    <xdr:to>
      <xdr:col>52</xdr:col>
      <xdr:colOff>0</xdr:colOff>
      <xdr:row>73</xdr:row>
      <xdr:rowOff>0</xdr:rowOff>
    </xdr:to>
    <xdr:sp macro="" textlink="">
      <xdr:nvSpPr>
        <xdr:cNvPr id="181" name="Textfeld 117"/>
        <xdr:cNvSpPr txBox="1"/>
      </xdr:nvSpPr>
      <xdr:spPr>
        <a:xfrm>
          <a:off x="9513094" y="11203781"/>
          <a:ext cx="1809750" cy="285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30</xdr:col>
      <xdr:colOff>0</xdr:colOff>
      <xdr:row>61</xdr:row>
      <xdr:rowOff>0</xdr:rowOff>
    </xdr:from>
    <xdr:to>
      <xdr:col>36</xdr:col>
      <xdr:colOff>0</xdr:colOff>
      <xdr:row>69</xdr:row>
      <xdr:rowOff>0</xdr:rowOff>
    </xdr:to>
    <xdr:sp macro="" textlink="">
      <xdr:nvSpPr>
        <xdr:cNvPr id="182" name="Textfeld 117"/>
        <xdr:cNvSpPr txBox="1"/>
      </xdr:nvSpPr>
      <xdr:spPr>
        <a:xfrm>
          <a:off x="6488906" y="9775031"/>
          <a:ext cx="1357313" cy="1143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60</xdr:col>
      <xdr:colOff>0</xdr:colOff>
      <xdr:row>13</xdr:row>
      <xdr:rowOff>0</xdr:rowOff>
    </xdr:from>
    <xdr:to>
      <xdr:col>64</xdr:col>
      <xdr:colOff>0</xdr:colOff>
      <xdr:row>33</xdr:row>
      <xdr:rowOff>0</xdr:rowOff>
    </xdr:to>
    <xdr:sp macro="" textlink="">
      <xdr:nvSpPr>
        <xdr:cNvPr id="185" name="Textfeld 117"/>
        <xdr:cNvSpPr txBox="1"/>
      </xdr:nvSpPr>
      <xdr:spPr>
        <a:xfrm>
          <a:off x="12989719" y="2917031"/>
          <a:ext cx="904875" cy="2857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 Einrücken</a:t>
          </a:r>
        </a:p>
      </xdr:txBody>
    </xdr:sp>
    <xdr:clientData/>
  </xdr:twoCellAnchor>
  <xdr:twoCellAnchor>
    <xdr:from>
      <xdr:col>56</xdr:col>
      <xdr:colOff>0</xdr:colOff>
      <xdr:row>25</xdr:row>
      <xdr:rowOff>0</xdr:rowOff>
    </xdr:from>
    <xdr:to>
      <xdr:col>57</xdr:col>
      <xdr:colOff>0</xdr:colOff>
      <xdr:row>27</xdr:row>
      <xdr:rowOff>0</xdr:rowOff>
    </xdr:to>
    <xdr:sp macro="" textlink="">
      <xdr:nvSpPr>
        <xdr:cNvPr id="186" name="Textfeld 117"/>
        <xdr:cNvSpPr txBox="1"/>
      </xdr:nvSpPr>
      <xdr:spPr>
        <a:xfrm>
          <a:off x="12227719" y="4631531"/>
          <a:ext cx="250031" cy="285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40</a:t>
          </a:r>
        </a:p>
      </xdr:txBody>
    </xdr:sp>
    <xdr:clientData/>
  </xdr:twoCellAnchor>
  <xdr:twoCellAnchor>
    <xdr:from>
      <xdr:col>58</xdr:col>
      <xdr:colOff>1</xdr:colOff>
      <xdr:row>27</xdr:row>
      <xdr:rowOff>0</xdr:rowOff>
    </xdr:from>
    <xdr:to>
      <xdr:col>60</xdr:col>
      <xdr:colOff>0</xdr:colOff>
      <xdr:row>33</xdr:row>
      <xdr:rowOff>0</xdr:rowOff>
    </xdr:to>
    <xdr:sp macro="" textlink="">
      <xdr:nvSpPr>
        <xdr:cNvPr id="188" name="Textfeld 117"/>
        <xdr:cNvSpPr txBox="1"/>
      </xdr:nvSpPr>
      <xdr:spPr>
        <a:xfrm>
          <a:off x="12537282" y="4917281"/>
          <a:ext cx="452437" cy="8572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</a:t>
          </a:r>
        </a:p>
      </xdr:txBody>
    </xdr:sp>
    <xdr:clientData/>
  </xdr:twoCellAnchor>
  <xdr:twoCellAnchor>
    <xdr:from>
      <xdr:col>84</xdr:col>
      <xdr:colOff>0</xdr:colOff>
      <xdr:row>7</xdr:row>
      <xdr:rowOff>0</xdr:rowOff>
    </xdr:from>
    <xdr:to>
      <xdr:col>85</xdr:col>
      <xdr:colOff>0</xdr:colOff>
      <xdr:row>39</xdr:row>
      <xdr:rowOff>0</xdr:rowOff>
    </xdr:to>
    <xdr:sp macro="" textlink="">
      <xdr:nvSpPr>
        <xdr:cNvPr id="191" name="Textfeld 225"/>
        <xdr:cNvSpPr txBox="1"/>
      </xdr:nvSpPr>
      <xdr:spPr>
        <a:xfrm>
          <a:off x="18133219" y="2059781"/>
          <a:ext cx="214312" cy="457200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Wochenendwache</a:t>
          </a:r>
        </a:p>
      </xdr:txBody>
    </xdr:sp>
    <xdr:clientData/>
  </xdr:twoCellAnchor>
  <xdr:twoCellAnchor>
    <xdr:from>
      <xdr:col>84</xdr:col>
      <xdr:colOff>0</xdr:colOff>
      <xdr:row>43</xdr:row>
      <xdr:rowOff>142874</xdr:rowOff>
    </xdr:from>
    <xdr:to>
      <xdr:col>85</xdr:col>
      <xdr:colOff>0</xdr:colOff>
      <xdr:row>82</xdr:row>
      <xdr:rowOff>142874</xdr:rowOff>
    </xdr:to>
    <xdr:sp macro="" textlink="">
      <xdr:nvSpPr>
        <xdr:cNvPr id="192" name="Textfeld 225"/>
        <xdr:cNvSpPr txBox="1"/>
      </xdr:nvSpPr>
      <xdr:spPr>
        <a:xfrm>
          <a:off x="18133219" y="7346155"/>
          <a:ext cx="214312" cy="5572125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Wochenendwache</a:t>
          </a:r>
        </a:p>
      </xdr:txBody>
    </xdr:sp>
    <xdr:clientData/>
  </xdr:twoCellAnchor>
  <xdr:twoCellAnchor>
    <xdr:from>
      <xdr:col>21</xdr:col>
      <xdr:colOff>226217</xdr:colOff>
      <xdr:row>48</xdr:row>
      <xdr:rowOff>0</xdr:rowOff>
    </xdr:from>
    <xdr:to>
      <xdr:col>26</xdr:col>
      <xdr:colOff>0</xdr:colOff>
      <xdr:row>56</xdr:row>
      <xdr:rowOff>0</xdr:rowOff>
    </xdr:to>
    <xdr:sp macro="" textlink="">
      <xdr:nvSpPr>
        <xdr:cNvPr id="194" name="Textfeld 117"/>
        <xdr:cNvSpPr txBox="1"/>
      </xdr:nvSpPr>
      <xdr:spPr>
        <a:xfrm>
          <a:off x="4822030" y="7917656"/>
          <a:ext cx="904876" cy="1143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B / C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36</xdr:col>
      <xdr:colOff>0</xdr:colOff>
      <xdr:row>12</xdr:row>
      <xdr:rowOff>142874</xdr:rowOff>
    </xdr:from>
    <xdr:to>
      <xdr:col>40</xdr:col>
      <xdr:colOff>1</xdr:colOff>
      <xdr:row>24</xdr:row>
      <xdr:rowOff>0</xdr:rowOff>
    </xdr:to>
    <xdr:sp macro="" textlink="">
      <xdr:nvSpPr>
        <xdr:cNvPr id="195" name="Textfeld 117"/>
        <xdr:cNvSpPr txBox="1"/>
      </xdr:nvSpPr>
      <xdr:spPr>
        <a:xfrm>
          <a:off x="7846219" y="2917030"/>
          <a:ext cx="904876" cy="1571626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H1 / H2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Spittelberg</a:t>
          </a:r>
        </a:p>
      </xdr:txBody>
    </xdr:sp>
    <xdr:clientData/>
  </xdr:twoCellAnchor>
  <xdr:twoCellAnchor>
    <xdr:from>
      <xdr:col>36</xdr:col>
      <xdr:colOff>0</xdr:colOff>
      <xdr:row>24</xdr:row>
      <xdr:rowOff>0</xdr:rowOff>
    </xdr:from>
    <xdr:to>
      <xdr:col>40</xdr:col>
      <xdr:colOff>1</xdr:colOff>
      <xdr:row>33</xdr:row>
      <xdr:rowOff>0</xdr:rowOff>
    </xdr:to>
    <xdr:sp macro="" textlink="">
      <xdr:nvSpPr>
        <xdr:cNvPr id="196" name="Textfeld 117"/>
        <xdr:cNvSpPr txBox="1"/>
      </xdr:nvSpPr>
      <xdr:spPr>
        <a:xfrm>
          <a:off x="7846219" y="4488656"/>
          <a:ext cx="904876" cy="12858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G</a:t>
          </a:r>
        </a:p>
        <a:p>
          <a:pPr marL="0" indent="0" algn="ctr" rtl="0">
            <a:defRPr sz="1000"/>
          </a:pPr>
          <a:r>
            <a:rPr lang="de-CH" sz="1000" b="0" i="0" baseline="0">
              <a:effectLst/>
              <a:latin typeface="+mn-lt"/>
              <a:ea typeface="+mn-ea"/>
              <a:cs typeface="+mn-cs"/>
            </a:rPr>
            <a:t>Spittelberg</a:t>
          </a:r>
          <a:endParaRPr lang="de-CH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36</xdr:col>
      <xdr:colOff>0</xdr:colOff>
      <xdr:row>39</xdr:row>
      <xdr:rowOff>0</xdr:rowOff>
    </xdr:from>
    <xdr:to>
      <xdr:col>40</xdr:col>
      <xdr:colOff>1</xdr:colOff>
      <xdr:row>47</xdr:row>
      <xdr:rowOff>0</xdr:rowOff>
    </xdr:to>
    <xdr:sp macro="" textlink="">
      <xdr:nvSpPr>
        <xdr:cNvPr id="197" name="Textfeld 117"/>
        <xdr:cNvSpPr txBox="1"/>
      </xdr:nvSpPr>
      <xdr:spPr>
        <a:xfrm>
          <a:off x="7846219" y="6631781"/>
          <a:ext cx="904876" cy="1143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F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35</xdr:col>
      <xdr:colOff>226218</xdr:colOff>
      <xdr:row>48</xdr:row>
      <xdr:rowOff>0</xdr:rowOff>
    </xdr:from>
    <xdr:to>
      <xdr:col>40</xdr:col>
      <xdr:colOff>0</xdr:colOff>
      <xdr:row>56</xdr:row>
      <xdr:rowOff>0</xdr:rowOff>
    </xdr:to>
    <xdr:sp macro="" textlink="">
      <xdr:nvSpPr>
        <xdr:cNvPr id="198" name="Textfeld 117"/>
        <xdr:cNvSpPr txBox="1"/>
      </xdr:nvSpPr>
      <xdr:spPr>
        <a:xfrm>
          <a:off x="7846218" y="7917656"/>
          <a:ext cx="904876" cy="1143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E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36</xdr:col>
      <xdr:colOff>0</xdr:colOff>
      <xdr:row>61</xdr:row>
      <xdr:rowOff>0</xdr:rowOff>
    </xdr:from>
    <xdr:to>
      <xdr:col>40</xdr:col>
      <xdr:colOff>1</xdr:colOff>
      <xdr:row>69</xdr:row>
      <xdr:rowOff>0</xdr:rowOff>
    </xdr:to>
    <xdr:sp macro="" textlink="">
      <xdr:nvSpPr>
        <xdr:cNvPr id="199" name="Textfeld 117"/>
        <xdr:cNvSpPr txBox="1"/>
      </xdr:nvSpPr>
      <xdr:spPr>
        <a:xfrm>
          <a:off x="7846219" y="9775031"/>
          <a:ext cx="904876" cy="1143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K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50</xdr:col>
      <xdr:colOff>0</xdr:colOff>
      <xdr:row>13</xdr:row>
      <xdr:rowOff>0</xdr:rowOff>
    </xdr:from>
    <xdr:to>
      <xdr:col>54</xdr:col>
      <xdr:colOff>1</xdr:colOff>
      <xdr:row>24</xdr:row>
      <xdr:rowOff>0</xdr:rowOff>
    </xdr:to>
    <xdr:sp macro="" textlink="">
      <xdr:nvSpPr>
        <xdr:cNvPr id="201" name="Textfeld 117"/>
        <xdr:cNvSpPr txBox="1"/>
      </xdr:nvSpPr>
      <xdr:spPr>
        <a:xfrm>
          <a:off x="10870406" y="2917031"/>
          <a:ext cx="904876" cy="157162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Egerkingen</a:t>
          </a:r>
        </a:p>
      </xdr:txBody>
    </xdr:sp>
    <xdr:clientData/>
  </xdr:twoCellAnchor>
  <xdr:twoCellAnchor>
    <xdr:from>
      <xdr:col>30</xdr:col>
      <xdr:colOff>0</xdr:colOff>
      <xdr:row>8</xdr:row>
      <xdr:rowOff>1</xdr:rowOff>
    </xdr:from>
    <xdr:to>
      <xdr:col>39</xdr:col>
      <xdr:colOff>224116</xdr:colOff>
      <xdr:row>10</xdr:row>
      <xdr:rowOff>1</xdr:rowOff>
    </xdr:to>
    <xdr:sp macro="" textlink="">
      <xdr:nvSpPr>
        <xdr:cNvPr id="202" name="Textfeld 225"/>
        <xdr:cNvSpPr txBox="1"/>
      </xdr:nvSpPr>
      <xdr:spPr>
        <a:xfrm>
          <a:off x="6488906" y="2202657"/>
          <a:ext cx="2260085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Ukft</a:t>
          </a:r>
        </a:p>
      </xdr:txBody>
    </xdr:sp>
    <xdr:clientData/>
  </xdr:twoCellAnchor>
  <xdr:twoCellAnchor>
    <xdr:from>
      <xdr:col>50</xdr:col>
      <xdr:colOff>0</xdr:colOff>
      <xdr:row>38</xdr:row>
      <xdr:rowOff>142874</xdr:rowOff>
    </xdr:from>
    <xdr:to>
      <xdr:col>54</xdr:col>
      <xdr:colOff>1</xdr:colOff>
      <xdr:row>55</xdr:row>
      <xdr:rowOff>142874</xdr:rowOff>
    </xdr:to>
    <xdr:sp macro="" textlink="">
      <xdr:nvSpPr>
        <xdr:cNvPr id="204" name="Textfeld 117"/>
        <xdr:cNvSpPr txBox="1"/>
      </xdr:nvSpPr>
      <xdr:spPr>
        <a:xfrm>
          <a:off x="10870406" y="6631780"/>
          <a:ext cx="904876" cy="242887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Modul GWK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Sichteren</a:t>
          </a:r>
        </a:p>
      </xdr:txBody>
    </xdr:sp>
    <xdr:clientData/>
  </xdr:twoCellAnchor>
  <xdr:twoCellAnchor>
    <xdr:from>
      <xdr:col>50</xdr:col>
      <xdr:colOff>0</xdr:colOff>
      <xdr:row>34</xdr:row>
      <xdr:rowOff>0</xdr:rowOff>
    </xdr:from>
    <xdr:to>
      <xdr:col>54</xdr:col>
      <xdr:colOff>0</xdr:colOff>
      <xdr:row>38</xdr:row>
      <xdr:rowOff>0</xdr:rowOff>
    </xdr:to>
    <xdr:sp macro="" textlink="">
      <xdr:nvSpPr>
        <xdr:cNvPr id="205" name="Textfeld 225"/>
        <xdr:cNvSpPr txBox="1"/>
      </xdr:nvSpPr>
      <xdr:spPr>
        <a:xfrm>
          <a:off x="10870406" y="5917406"/>
          <a:ext cx="904875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Vs Sichtern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Achse</a:t>
          </a:r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0</xdr:colOff>
      <xdr:row>22</xdr:row>
      <xdr:rowOff>0</xdr:rowOff>
    </xdr:to>
    <xdr:sp macro="" textlink="">
      <xdr:nvSpPr>
        <xdr:cNvPr id="81" name="Textfeld 117"/>
        <xdr:cNvSpPr txBox="1"/>
      </xdr:nvSpPr>
      <xdr:spPr>
        <a:xfrm>
          <a:off x="6179344" y="3917156"/>
          <a:ext cx="250031" cy="285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</a:t>
          </a:r>
        </a:p>
      </xdr:txBody>
    </xdr:sp>
    <xdr:clientData/>
  </xdr:twoCellAnchor>
  <xdr:twoCellAnchor>
    <xdr:from>
      <xdr:col>70</xdr:col>
      <xdr:colOff>0</xdr:colOff>
      <xdr:row>15</xdr:row>
      <xdr:rowOff>0</xdr:rowOff>
    </xdr:from>
    <xdr:to>
      <xdr:col>71</xdr:col>
      <xdr:colOff>0</xdr:colOff>
      <xdr:row>23</xdr:row>
      <xdr:rowOff>0</xdr:rowOff>
    </xdr:to>
    <xdr:sp macro="" textlink="">
      <xdr:nvSpPr>
        <xdr:cNvPr id="82" name="Textfeld 117"/>
        <xdr:cNvSpPr txBox="1"/>
      </xdr:nvSpPr>
      <xdr:spPr>
        <a:xfrm>
          <a:off x="15251906" y="3202781"/>
          <a:ext cx="250032" cy="1143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50</a:t>
          </a:r>
        </a:p>
      </xdr:txBody>
    </xdr:sp>
    <xdr:clientData/>
  </xdr:twoCellAnchor>
  <xdr:twoCellAnchor>
    <xdr:from>
      <xdr:col>70</xdr:col>
      <xdr:colOff>0</xdr:colOff>
      <xdr:row>25</xdr:row>
      <xdr:rowOff>0</xdr:rowOff>
    </xdr:from>
    <xdr:to>
      <xdr:col>71</xdr:col>
      <xdr:colOff>0</xdr:colOff>
      <xdr:row>33</xdr:row>
      <xdr:rowOff>0</xdr:rowOff>
    </xdr:to>
    <xdr:sp macro="" textlink="">
      <xdr:nvSpPr>
        <xdr:cNvPr id="84" name="Textfeld 117"/>
        <xdr:cNvSpPr txBox="1"/>
      </xdr:nvSpPr>
      <xdr:spPr>
        <a:xfrm>
          <a:off x="15251906" y="4631531"/>
          <a:ext cx="250032" cy="1143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51</a:t>
          </a:r>
        </a:p>
      </xdr:txBody>
    </xdr:sp>
    <xdr:clientData/>
  </xdr:twoCellAnchor>
  <xdr:twoCellAnchor>
    <xdr:from>
      <xdr:col>52</xdr:col>
      <xdr:colOff>1</xdr:colOff>
      <xdr:row>57</xdr:row>
      <xdr:rowOff>1</xdr:rowOff>
    </xdr:from>
    <xdr:to>
      <xdr:col>54</xdr:col>
      <xdr:colOff>23814</xdr:colOff>
      <xdr:row>75</xdr:row>
      <xdr:rowOff>1</xdr:rowOff>
    </xdr:to>
    <xdr:sp macro="" textlink="">
      <xdr:nvSpPr>
        <xdr:cNvPr id="86" name="Textfeld 117"/>
        <xdr:cNvSpPr txBox="1"/>
      </xdr:nvSpPr>
      <xdr:spPr>
        <a:xfrm>
          <a:off x="11322845" y="9203532"/>
          <a:ext cx="476250" cy="2571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Uof Abend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gem beso Bf</a:t>
          </a:r>
        </a:p>
      </xdr:txBody>
    </xdr:sp>
    <xdr:clientData/>
  </xdr:twoCellAnchor>
  <xdr:twoCellAnchor>
    <xdr:from>
      <xdr:col>30</xdr:col>
      <xdr:colOff>0</xdr:colOff>
      <xdr:row>68</xdr:row>
      <xdr:rowOff>142874</xdr:rowOff>
    </xdr:from>
    <xdr:to>
      <xdr:col>40</xdr:col>
      <xdr:colOff>0</xdr:colOff>
      <xdr:row>71</xdr:row>
      <xdr:rowOff>142874</xdr:rowOff>
    </xdr:to>
    <xdr:sp macro="" textlink="">
      <xdr:nvSpPr>
        <xdr:cNvPr id="85" name="Textfeld 225"/>
        <xdr:cNvSpPr txBox="1"/>
      </xdr:nvSpPr>
      <xdr:spPr>
        <a:xfrm>
          <a:off x="6488906" y="10918030"/>
          <a:ext cx="2262188" cy="42862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WEB</a:t>
          </a:r>
          <a:endParaRPr lang="de-CH" sz="800" b="0" i="0" u="none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49</xdr:col>
      <xdr:colOff>226217</xdr:colOff>
      <xdr:row>24</xdr:row>
      <xdr:rowOff>0</xdr:rowOff>
    </xdr:from>
    <xdr:to>
      <xdr:col>54</xdr:col>
      <xdr:colOff>0</xdr:colOff>
      <xdr:row>30</xdr:row>
      <xdr:rowOff>0</xdr:rowOff>
    </xdr:to>
    <xdr:sp macro="" textlink="">
      <xdr:nvSpPr>
        <xdr:cNvPr id="88" name="Textfeld 117"/>
        <xdr:cNvSpPr txBox="1"/>
      </xdr:nvSpPr>
      <xdr:spPr>
        <a:xfrm>
          <a:off x="10870405" y="4488656"/>
          <a:ext cx="904876" cy="857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Härkingen</a:t>
          </a:r>
        </a:p>
      </xdr:txBody>
    </xdr:sp>
    <xdr:clientData/>
  </xdr:twoCellAnchor>
  <xdr:twoCellAnchor>
    <xdr:from>
      <xdr:col>64</xdr:col>
      <xdr:colOff>0</xdr:colOff>
      <xdr:row>37</xdr:row>
      <xdr:rowOff>0</xdr:rowOff>
    </xdr:from>
    <xdr:to>
      <xdr:col>68</xdr:col>
      <xdr:colOff>0</xdr:colOff>
      <xdr:row>47</xdr:row>
      <xdr:rowOff>0</xdr:rowOff>
    </xdr:to>
    <xdr:sp macro="" textlink="">
      <xdr:nvSpPr>
        <xdr:cNvPr id="89" name="Textfeld 117"/>
        <xdr:cNvSpPr txBox="1"/>
      </xdr:nvSpPr>
      <xdr:spPr>
        <a:xfrm>
          <a:off x="13894594" y="6346031"/>
          <a:ext cx="904875" cy="1428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 Ausb Wo 1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AR 1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Wacht D Test Uof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Gehren, Fasiswald</a:t>
          </a:r>
        </a:p>
      </xdr:txBody>
    </xdr:sp>
    <xdr:clientData/>
  </xdr:twoCellAnchor>
  <xdr:twoCellAnchor>
    <xdr:from>
      <xdr:col>58</xdr:col>
      <xdr:colOff>0</xdr:colOff>
      <xdr:row>37</xdr:row>
      <xdr:rowOff>0</xdr:rowOff>
    </xdr:from>
    <xdr:to>
      <xdr:col>64</xdr:col>
      <xdr:colOff>0</xdr:colOff>
      <xdr:row>47</xdr:row>
      <xdr:rowOff>0</xdr:rowOff>
    </xdr:to>
    <xdr:sp macro="" textlink="">
      <xdr:nvSpPr>
        <xdr:cNvPr id="90" name="Textfeld 117"/>
        <xdr:cNvSpPr txBox="1"/>
      </xdr:nvSpPr>
      <xdr:spPr>
        <a:xfrm>
          <a:off x="12537281" y="6346031"/>
          <a:ext cx="1357313" cy="1428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AVOR Einrücken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48</xdr:row>
      <xdr:rowOff>0</xdr:rowOff>
    </xdr:from>
    <xdr:to>
      <xdr:col>10</xdr:col>
      <xdr:colOff>0</xdr:colOff>
      <xdr:row>56</xdr:row>
      <xdr:rowOff>-1</xdr:rowOff>
    </xdr:to>
    <xdr:sp macro="" textlink="">
      <xdr:nvSpPr>
        <xdr:cNvPr id="213" name="Textfeld 117"/>
        <xdr:cNvSpPr txBox="1"/>
      </xdr:nvSpPr>
      <xdr:spPr>
        <a:xfrm>
          <a:off x="439615" y="8071827"/>
          <a:ext cx="1856154" cy="117230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F</a:t>
          </a:r>
        </a:p>
        <a:p>
          <a:pPr marL="0" indent="0" algn="ctr" rtl="0">
            <a:defRPr sz="1000"/>
          </a:pPr>
          <a:r>
            <a:rPr lang="de-CH" sz="1000" b="0" i="0" baseline="0">
              <a:effectLst/>
              <a:latin typeface="+mn-lt"/>
              <a:ea typeface="+mn-ea"/>
              <a:cs typeface="+mn-cs"/>
            </a:rPr>
            <a:t>Härkingen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2</xdr:col>
      <xdr:colOff>0</xdr:colOff>
      <xdr:row>22</xdr:row>
      <xdr:rowOff>146537</xdr:rowOff>
    </xdr:from>
    <xdr:to>
      <xdr:col>10</xdr:col>
      <xdr:colOff>0</xdr:colOff>
      <xdr:row>38</xdr:row>
      <xdr:rowOff>146537</xdr:rowOff>
    </xdr:to>
    <xdr:sp macro="" textlink="">
      <xdr:nvSpPr>
        <xdr:cNvPr id="7" name="Textfeld 117"/>
        <xdr:cNvSpPr txBox="1"/>
      </xdr:nvSpPr>
      <xdr:spPr>
        <a:xfrm>
          <a:off x="439615" y="4408364"/>
          <a:ext cx="1856154" cy="234461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Mobilmachung U inkl Mittagessen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gem Bf</a:t>
          </a:r>
        </a:p>
      </xdr:txBody>
    </xdr:sp>
    <xdr:clientData/>
  </xdr:twoCellAnchor>
  <xdr:twoCellAnchor>
    <xdr:from>
      <xdr:col>2</xdr:col>
      <xdr:colOff>1</xdr:colOff>
      <xdr:row>73</xdr:row>
      <xdr:rowOff>146538</xdr:rowOff>
    </xdr:from>
    <xdr:to>
      <xdr:col>10</xdr:col>
      <xdr:colOff>0</xdr:colOff>
      <xdr:row>75</xdr:row>
      <xdr:rowOff>0</xdr:rowOff>
    </xdr:to>
    <xdr:sp macro="" textlink="">
      <xdr:nvSpPr>
        <xdr:cNvPr id="12" name="Text 693"/>
        <xdr:cNvSpPr txBox="1">
          <a:spLocks noChangeArrowheads="1"/>
        </xdr:cNvSpPr>
      </xdr:nvSpPr>
      <xdr:spPr bwMode="auto">
        <a:xfrm flipV="1">
          <a:off x="439616" y="11881826"/>
          <a:ext cx="1856153" cy="146539"/>
        </a:xfrm>
        <a:prstGeom prst="rect">
          <a:avLst/>
        </a:prstGeom>
        <a:solidFill>
          <a:schemeClr val="tx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ALARMÜBUNG</a:t>
          </a:r>
          <a:endParaRPr lang="fr-CH" sz="900" b="0" i="0" u="none" strike="noStrike" baseline="0">
            <a:solidFill>
              <a:schemeClr val="bg1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10</xdr:col>
      <xdr:colOff>0</xdr:colOff>
      <xdr:row>61</xdr:row>
      <xdr:rowOff>0</xdr:rowOff>
    </xdr:to>
    <xdr:sp macro="" textlink="">
      <xdr:nvSpPr>
        <xdr:cNvPr id="53" name="Textfeld 225"/>
        <xdr:cNvSpPr txBox="1"/>
      </xdr:nvSpPr>
      <xdr:spPr>
        <a:xfrm>
          <a:off x="437029" y="9334500"/>
          <a:ext cx="1792942" cy="5827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Nachtessen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2</xdr:col>
      <xdr:colOff>0</xdr:colOff>
      <xdr:row>77</xdr:row>
      <xdr:rowOff>0</xdr:rowOff>
    </xdr:from>
    <xdr:to>
      <xdr:col>10</xdr:col>
      <xdr:colOff>0</xdr:colOff>
      <xdr:row>78</xdr:row>
      <xdr:rowOff>0</xdr:rowOff>
    </xdr:to>
    <xdr:sp macro="" textlink="">
      <xdr:nvSpPr>
        <xdr:cNvPr id="67" name="Textfeld 225"/>
        <xdr:cNvSpPr txBox="1"/>
      </xdr:nvSpPr>
      <xdr:spPr>
        <a:xfrm>
          <a:off x="437029" y="12248029"/>
          <a:ext cx="1792942" cy="145677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16</xdr:col>
      <xdr:colOff>0</xdr:colOff>
      <xdr:row>77</xdr:row>
      <xdr:rowOff>0</xdr:rowOff>
    </xdr:from>
    <xdr:to>
      <xdr:col>24</xdr:col>
      <xdr:colOff>0</xdr:colOff>
      <xdr:row>78</xdr:row>
      <xdr:rowOff>0</xdr:rowOff>
    </xdr:to>
    <xdr:sp macro="" textlink="">
      <xdr:nvSpPr>
        <xdr:cNvPr id="68" name="Textfeld 225"/>
        <xdr:cNvSpPr txBox="1"/>
      </xdr:nvSpPr>
      <xdr:spPr>
        <a:xfrm>
          <a:off x="3429000" y="12248029"/>
          <a:ext cx="1792941" cy="145677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30</xdr:col>
      <xdr:colOff>0</xdr:colOff>
      <xdr:row>77</xdr:row>
      <xdr:rowOff>0</xdr:rowOff>
    </xdr:from>
    <xdr:to>
      <xdr:col>38</xdr:col>
      <xdr:colOff>0</xdr:colOff>
      <xdr:row>78</xdr:row>
      <xdr:rowOff>0</xdr:rowOff>
    </xdr:to>
    <xdr:sp macro="" textlink="">
      <xdr:nvSpPr>
        <xdr:cNvPr id="69" name="Textfeld 225"/>
        <xdr:cNvSpPr txBox="1"/>
      </xdr:nvSpPr>
      <xdr:spPr>
        <a:xfrm>
          <a:off x="6618654" y="12321442"/>
          <a:ext cx="1856154" cy="146539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44</xdr:col>
      <xdr:colOff>0</xdr:colOff>
      <xdr:row>77</xdr:row>
      <xdr:rowOff>0</xdr:rowOff>
    </xdr:from>
    <xdr:to>
      <xdr:col>54</xdr:col>
      <xdr:colOff>0</xdr:colOff>
      <xdr:row>78</xdr:row>
      <xdr:rowOff>0</xdr:rowOff>
    </xdr:to>
    <xdr:sp macro="" textlink="">
      <xdr:nvSpPr>
        <xdr:cNvPr id="70" name="Textfeld 225"/>
        <xdr:cNvSpPr txBox="1"/>
      </xdr:nvSpPr>
      <xdr:spPr>
        <a:xfrm>
          <a:off x="9708173" y="12321442"/>
          <a:ext cx="2320192" cy="146539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2</xdr:col>
      <xdr:colOff>1</xdr:colOff>
      <xdr:row>9</xdr:row>
      <xdr:rowOff>0</xdr:rowOff>
    </xdr:from>
    <xdr:to>
      <xdr:col>10</xdr:col>
      <xdr:colOff>1</xdr:colOff>
      <xdr:row>12</xdr:row>
      <xdr:rowOff>0</xdr:rowOff>
    </xdr:to>
    <xdr:sp macro="" textlink="">
      <xdr:nvSpPr>
        <xdr:cNvPr id="74" name="Textfeld 225"/>
        <xdr:cNvSpPr txBox="1"/>
      </xdr:nvSpPr>
      <xdr:spPr>
        <a:xfrm>
          <a:off x="437030" y="2342029"/>
          <a:ext cx="1792942" cy="43703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2</xdr:col>
      <xdr:colOff>1</xdr:colOff>
      <xdr:row>13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75" name="Textfeld 225"/>
        <xdr:cNvSpPr txBox="1"/>
      </xdr:nvSpPr>
      <xdr:spPr>
        <a:xfrm>
          <a:off x="439616" y="2942981"/>
          <a:ext cx="1856153" cy="146538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2</xdr:col>
      <xdr:colOff>0</xdr:colOff>
      <xdr:row>14</xdr:row>
      <xdr:rowOff>145675</xdr:rowOff>
    </xdr:from>
    <xdr:to>
      <xdr:col>10</xdr:col>
      <xdr:colOff>0</xdr:colOff>
      <xdr:row>22</xdr:row>
      <xdr:rowOff>0</xdr:rowOff>
    </xdr:to>
    <xdr:sp macro="" textlink="">
      <xdr:nvSpPr>
        <xdr:cNvPr id="76" name="Textfeld 117"/>
        <xdr:cNvSpPr txBox="1"/>
      </xdr:nvSpPr>
      <xdr:spPr>
        <a:xfrm>
          <a:off x="439615" y="3235194"/>
          <a:ext cx="1856154" cy="102663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AVOR Mobilmachung U 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gem Bf</a:t>
          </a:r>
        </a:p>
      </xdr:txBody>
    </xdr:sp>
    <xdr:clientData/>
  </xdr:twoCellAnchor>
  <xdr:twoCellAnchor editAs="oneCell">
    <xdr:from>
      <xdr:col>88</xdr:col>
      <xdr:colOff>33618</xdr:colOff>
      <xdr:row>80</xdr:row>
      <xdr:rowOff>22412</xdr:rowOff>
    </xdr:from>
    <xdr:to>
      <xdr:col>90</xdr:col>
      <xdr:colOff>360270</xdr:colOff>
      <xdr:row>82</xdr:row>
      <xdr:rowOff>91834</xdr:rowOff>
    </xdr:to>
    <xdr:pic>
      <xdr:nvPicPr>
        <xdr:cNvPr id="77" name="Grafik 7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37089" y="12707471"/>
          <a:ext cx="752475" cy="360775"/>
        </a:xfrm>
        <a:prstGeom prst="rect">
          <a:avLst/>
        </a:prstGeom>
      </xdr:spPr>
    </xdr:pic>
    <xdr:clientData/>
  </xdr:twoCellAnchor>
  <xdr:twoCellAnchor>
    <xdr:from>
      <xdr:col>42</xdr:col>
      <xdr:colOff>0</xdr:colOff>
      <xdr:row>8</xdr:row>
      <xdr:rowOff>145675</xdr:rowOff>
    </xdr:from>
    <xdr:to>
      <xdr:col>43</xdr:col>
      <xdr:colOff>0</xdr:colOff>
      <xdr:row>10</xdr:row>
      <xdr:rowOff>145675</xdr:rowOff>
    </xdr:to>
    <xdr:sp macro="" textlink="">
      <xdr:nvSpPr>
        <xdr:cNvPr id="78" name="Textfeld 193"/>
        <xdr:cNvSpPr txBox="1"/>
      </xdr:nvSpPr>
      <xdr:spPr>
        <a:xfrm>
          <a:off x="9110382" y="2342028"/>
          <a:ext cx="246530" cy="291353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30</xdr:col>
      <xdr:colOff>0</xdr:colOff>
      <xdr:row>9</xdr:row>
      <xdr:rowOff>0</xdr:rowOff>
    </xdr:from>
    <xdr:to>
      <xdr:col>38</xdr:col>
      <xdr:colOff>0</xdr:colOff>
      <xdr:row>12</xdr:row>
      <xdr:rowOff>0</xdr:rowOff>
    </xdr:to>
    <xdr:sp macro="" textlink="">
      <xdr:nvSpPr>
        <xdr:cNvPr id="79" name="Textfeld 225"/>
        <xdr:cNvSpPr txBox="1"/>
      </xdr:nvSpPr>
      <xdr:spPr>
        <a:xfrm>
          <a:off x="6420971" y="2342029"/>
          <a:ext cx="1792941" cy="43703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30</xdr:col>
      <xdr:colOff>1</xdr:colOff>
      <xdr:row>13</xdr:row>
      <xdr:rowOff>0</xdr:rowOff>
    </xdr:from>
    <xdr:to>
      <xdr:col>38</xdr:col>
      <xdr:colOff>0</xdr:colOff>
      <xdr:row>14</xdr:row>
      <xdr:rowOff>864</xdr:rowOff>
    </xdr:to>
    <xdr:sp macro="" textlink="">
      <xdr:nvSpPr>
        <xdr:cNvPr id="80" name="Textfeld 225"/>
        <xdr:cNvSpPr txBox="1"/>
      </xdr:nvSpPr>
      <xdr:spPr>
        <a:xfrm>
          <a:off x="6618655" y="2942981"/>
          <a:ext cx="1856153" cy="147402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44</xdr:col>
      <xdr:colOff>0</xdr:colOff>
      <xdr:row>9</xdr:row>
      <xdr:rowOff>0</xdr:rowOff>
    </xdr:from>
    <xdr:to>
      <xdr:col>54</xdr:col>
      <xdr:colOff>0</xdr:colOff>
      <xdr:row>12</xdr:row>
      <xdr:rowOff>0</xdr:rowOff>
    </xdr:to>
    <xdr:sp macro="" textlink="">
      <xdr:nvSpPr>
        <xdr:cNvPr id="81" name="Textfeld 225"/>
        <xdr:cNvSpPr txBox="1"/>
      </xdr:nvSpPr>
      <xdr:spPr>
        <a:xfrm>
          <a:off x="9704917" y="2349500"/>
          <a:ext cx="2328333" cy="444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58</xdr:col>
      <xdr:colOff>0</xdr:colOff>
      <xdr:row>9</xdr:row>
      <xdr:rowOff>0</xdr:rowOff>
    </xdr:from>
    <xdr:to>
      <xdr:col>68</xdr:col>
      <xdr:colOff>0</xdr:colOff>
      <xdr:row>12</xdr:row>
      <xdr:rowOff>1</xdr:rowOff>
    </xdr:to>
    <xdr:sp macro="" textlink="">
      <xdr:nvSpPr>
        <xdr:cNvPr id="82" name="Textfeld 225"/>
        <xdr:cNvSpPr txBox="1"/>
      </xdr:nvSpPr>
      <xdr:spPr>
        <a:xfrm>
          <a:off x="12797692" y="2356827"/>
          <a:ext cx="2320193" cy="43961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56</xdr:col>
      <xdr:colOff>0</xdr:colOff>
      <xdr:row>9</xdr:row>
      <xdr:rowOff>0</xdr:rowOff>
    </xdr:from>
    <xdr:to>
      <xdr:col>57</xdr:col>
      <xdr:colOff>1</xdr:colOff>
      <xdr:row>11</xdr:row>
      <xdr:rowOff>0</xdr:rowOff>
    </xdr:to>
    <xdr:sp macro="" textlink="">
      <xdr:nvSpPr>
        <xdr:cNvPr id="83" name="Textfeld 193"/>
        <xdr:cNvSpPr txBox="1"/>
      </xdr:nvSpPr>
      <xdr:spPr>
        <a:xfrm>
          <a:off x="12102353" y="2342029"/>
          <a:ext cx="246530" cy="291353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70</xdr:col>
      <xdr:colOff>0</xdr:colOff>
      <xdr:row>9</xdr:row>
      <xdr:rowOff>0</xdr:rowOff>
    </xdr:from>
    <xdr:to>
      <xdr:col>71</xdr:col>
      <xdr:colOff>1</xdr:colOff>
      <xdr:row>11</xdr:row>
      <xdr:rowOff>0</xdr:rowOff>
    </xdr:to>
    <xdr:sp macro="" textlink="">
      <xdr:nvSpPr>
        <xdr:cNvPr id="84" name="Textfeld 193"/>
        <xdr:cNvSpPr txBox="1"/>
      </xdr:nvSpPr>
      <xdr:spPr>
        <a:xfrm>
          <a:off x="15094324" y="2342029"/>
          <a:ext cx="246530" cy="291353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44</xdr:col>
      <xdr:colOff>6613</xdr:colOff>
      <xdr:row>13</xdr:row>
      <xdr:rowOff>0</xdr:rowOff>
    </xdr:from>
    <xdr:to>
      <xdr:col>54</xdr:col>
      <xdr:colOff>0</xdr:colOff>
      <xdr:row>14</xdr:row>
      <xdr:rowOff>0</xdr:rowOff>
    </xdr:to>
    <xdr:sp macro="" textlink="">
      <xdr:nvSpPr>
        <xdr:cNvPr id="85" name="Textfeld 225"/>
        <xdr:cNvSpPr txBox="1"/>
      </xdr:nvSpPr>
      <xdr:spPr>
        <a:xfrm>
          <a:off x="9714786" y="2942981"/>
          <a:ext cx="2313579" cy="146538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58</xdr:col>
      <xdr:colOff>0</xdr:colOff>
      <xdr:row>13</xdr:row>
      <xdr:rowOff>0</xdr:rowOff>
    </xdr:from>
    <xdr:to>
      <xdr:col>68</xdr:col>
      <xdr:colOff>0</xdr:colOff>
      <xdr:row>14</xdr:row>
      <xdr:rowOff>0</xdr:rowOff>
    </xdr:to>
    <xdr:sp macro="" textlink="">
      <xdr:nvSpPr>
        <xdr:cNvPr id="86" name="Textfeld 225"/>
        <xdr:cNvSpPr txBox="1"/>
      </xdr:nvSpPr>
      <xdr:spPr>
        <a:xfrm>
          <a:off x="12797692" y="2942981"/>
          <a:ext cx="2320193" cy="146538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10</xdr:col>
      <xdr:colOff>0</xdr:colOff>
      <xdr:row>63</xdr:row>
      <xdr:rowOff>0</xdr:rowOff>
    </xdr:to>
    <xdr:sp macro="" textlink="">
      <xdr:nvSpPr>
        <xdr:cNvPr id="87" name="Textfeld 117"/>
        <xdr:cNvSpPr txBox="1"/>
      </xdr:nvSpPr>
      <xdr:spPr>
        <a:xfrm>
          <a:off x="439615" y="9976827"/>
          <a:ext cx="1856154" cy="293077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Vs / Reorg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Achse</a:t>
          </a:r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10</xdr:col>
      <xdr:colOff>0</xdr:colOff>
      <xdr:row>67</xdr:row>
      <xdr:rowOff>0</xdr:rowOff>
    </xdr:to>
    <xdr:sp macro="" textlink="">
      <xdr:nvSpPr>
        <xdr:cNvPr id="89" name="Textfeld 117"/>
        <xdr:cNvSpPr txBox="1"/>
      </xdr:nvSpPr>
      <xdr:spPr>
        <a:xfrm>
          <a:off x="439615" y="10269904"/>
          <a:ext cx="1856154" cy="58615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Eintrainieren Fahne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xy</a:t>
          </a:r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10</xdr:col>
      <xdr:colOff>0</xdr:colOff>
      <xdr:row>73</xdr:row>
      <xdr:rowOff>0</xdr:rowOff>
    </xdr:to>
    <xdr:sp macro="" textlink="">
      <xdr:nvSpPr>
        <xdr:cNvPr id="90" name="Textfeld 117"/>
        <xdr:cNvSpPr txBox="1"/>
      </xdr:nvSpPr>
      <xdr:spPr>
        <a:xfrm>
          <a:off x="439615" y="10856058"/>
          <a:ext cx="1856154" cy="87923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Fahnenübernahme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xy</a:t>
          </a:r>
        </a:p>
      </xdr:txBody>
    </xdr:sp>
    <xdr:clientData/>
  </xdr:twoCellAnchor>
  <xdr:twoCellAnchor>
    <xdr:from>
      <xdr:col>28</xdr:col>
      <xdr:colOff>0</xdr:colOff>
      <xdr:row>9</xdr:row>
      <xdr:rowOff>0</xdr:rowOff>
    </xdr:from>
    <xdr:to>
      <xdr:col>29</xdr:col>
      <xdr:colOff>1</xdr:colOff>
      <xdr:row>11</xdr:row>
      <xdr:rowOff>0</xdr:rowOff>
    </xdr:to>
    <xdr:sp macro="" textlink="">
      <xdr:nvSpPr>
        <xdr:cNvPr id="92" name="Textfeld 193"/>
        <xdr:cNvSpPr txBox="1"/>
      </xdr:nvSpPr>
      <xdr:spPr>
        <a:xfrm>
          <a:off x="6118412" y="2342029"/>
          <a:ext cx="246530" cy="291353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24</xdr:col>
      <xdr:colOff>0</xdr:colOff>
      <xdr:row>12</xdr:row>
      <xdr:rowOff>0</xdr:rowOff>
    </xdr:to>
    <xdr:sp macro="" textlink="">
      <xdr:nvSpPr>
        <xdr:cNvPr id="93" name="Textfeld 225"/>
        <xdr:cNvSpPr txBox="1"/>
      </xdr:nvSpPr>
      <xdr:spPr>
        <a:xfrm>
          <a:off x="3429000" y="2342029"/>
          <a:ext cx="1792941" cy="43703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24</xdr:col>
      <xdr:colOff>0</xdr:colOff>
      <xdr:row>76</xdr:row>
      <xdr:rowOff>0</xdr:rowOff>
    </xdr:to>
    <xdr:sp macro="" textlink="">
      <xdr:nvSpPr>
        <xdr:cNvPr id="95" name="Textfeld 225"/>
        <xdr:cNvSpPr txBox="1"/>
      </xdr:nvSpPr>
      <xdr:spPr>
        <a:xfrm>
          <a:off x="3529135" y="11881827"/>
          <a:ext cx="1856153" cy="293077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14</xdr:col>
      <xdr:colOff>0</xdr:colOff>
      <xdr:row>9</xdr:row>
      <xdr:rowOff>0</xdr:rowOff>
    </xdr:from>
    <xdr:to>
      <xdr:col>15</xdr:col>
      <xdr:colOff>0</xdr:colOff>
      <xdr:row>11</xdr:row>
      <xdr:rowOff>0</xdr:rowOff>
    </xdr:to>
    <xdr:sp macro="" textlink="">
      <xdr:nvSpPr>
        <xdr:cNvPr id="96" name="Textfeld 193"/>
        <xdr:cNvSpPr txBox="1"/>
      </xdr:nvSpPr>
      <xdr:spPr>
        <a:xfrm>
          <a:off x="3126441" y="2342029"/>
          <a:ext cx="246530" cy="291353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28</xdr:col>
      <xdr:colOff>0</xdr:colOff>
      <xdr:row>20</xdr:row>
      <xdr:rowOff>146537</xdr:rowOff>
    </xdr:from>
    <xdr:to>
      <xdr:col>29</xdr:col>
      <xdr:colOff>0</xdr:colOff>
      <xdr:row>22</xdr:row>
      <xdr:rowOff>146537</xdr:rowOff>
    </xdr:to>
    <xdr:sp macro="" textlink="">
      <xdr:nvSpPr>
        <xdr:cNvPr id="97" name="Textfeld 193"/>
        <xdr:cNvSpPr txBox="1"/>
      </xdr:nvSpPr>
      <xdr:spPr>
        <a:xfrm>
          <a:off x="6313365" y="4115287"/>
          <a:ext cx="244231" cy="293077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DR</a:t>
          </a:r>
        </a:p>
      </xdr:txBody>
    </xdr:sp>
    <xdr:clientData/>
  </xdr:twoCellAnchor>
  <xdr:twoCellAnchor>
    <xdr:from>
      <xdr:col>16</xdr:col>
      <xdr:colOff>0</xdr:colOff>
      <xdr:row>13</xdr:row>
      <xdr:rowOff>0</xdr:rowOff>
    </xdr:from>
    <xdr:to>
      <xdr:col>24</xdr:col>
      <xdr:colOff>0</xdr:colOff>
      <xdr:row>14</xdr:row>
      <xdr:rowOff>0</xdr:rowOff>
    </xdr:to>
    <xdr:sp macro="" textlink="">
      <xdr:nvSpPr>
        <xdr:cNvPr id="100" name="Textfeld 225"/>
        <xdr:cNvSpPr txBox="1"/>
      </xdr:nvSpPr>
      <xdr:spPr>
        <a:xfrm>
          <a:off x="3529135" y="2942981"/>
          <a:ext cx="1856153" cy="146538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24</xdr:col>
      <xdr:colOff>1</xdr:colOff>
      <xdr:row>27</xdr:row>
      <xdr:rowOff>0</xdr:rowOff>
    </xdr:to>
    <xdr:sp macro="" textlink="">
      <xdr:nvSpPr>
        <xdr:cNvPr id="103" name="Textfeld 117"/>
        <xdr:cNvSpPr txBox="1"/>
      </xdr:nvSpPr>
      <xdr:spPr>
        <a:xfrm>
          <a:off x="3529135" y="3529135"/>
          <a:ext cx="1856154" cy="146538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 Modul H1 / H2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Gehren KD Box G1, G2, G4</a:t>
          </a:r>
        </a:p>
      </xdr:txBody>
    </xdr:sp>
    <xdr:clientData/>
  </xdr:twoCellAnchor>
  <xdr:twoCellAnchor>
    <xdr:from>
      <xdr:col>16</xdr:col>
      <xdr:colOff>0</xdr:colOff>
      <xdr:row>45</xdr:row>
      <xdr:rowOff>0</xdr:rowOff>
    </xdr:from>
    <xdr:to>
      <xdr:col>24</xdr:col>
      <xdr:colOff>1</xdr:colOff>
      <xdr:row>53</xdr:row>
      <xdr:rowOff>0</xdr:rowOff>
    </xdr:to>
    <xdr:sp macro="" textlink="">
      <xdr:nvSpPr>
        <xdr:cNvPr id="104" name="Textfeld 117"/>
        <xdr:cNvSpPr txBox="1"/>
      </xdr:nvSpPr>
      <xdr:spPr>
        <a:xfrm>
          <a:off x="3529135" y="7632212"/>
          <a:ext cx="1856154" cy="117230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K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Gehren</a:t>
          </a:r>
        </a:p>
      </xdr:txBody>
    </xdr:sp>
    <xdr:clientData/>
  </xdr:twoCellAnchor>
  <xdr:twoCellAnchor>
    <xdr:from>
      <xdr:col>16</xdr:col>
      <xdr:colOff>0</xdr:colOff>
      <xdr:row>57</xdr:row>
      <xdr:rowOff>0</xdr:rowOff>
    </xdr:from>
    <xdr:to>
      <xdr:col>24</xdr:col>
      <xdr:colOff>1</xdr:colOff>
      <xdr:row>61</xdr:row>
      <xdr:rowOff>0</xdr:rowOff>
    </xdr:to>
    <xdr:sp macro="" textlink="">
      <xdr:nvSpPr>
        <xdr:cNvPr id="105" name="Textfeld 225"/>
        <xdr:cNvSpPr txBox="1"/>
      </xdr:nvSpPr>
      <xdr:spPr>
        <a:xfrm>
          <a:off x="3429000" y="9334500"/>
          <a:ext cx="1792942" cy="5827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Nachtessen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24</xdr:col>
      <xdr:colOff>0</xdr:colOff>
      <xdr:row>37</xdr:row>
      <xdr:rowOff>11906</xdr:rowOff>
    </xdr:to>
    <xdr:sp macro="" textlink="">
      <xdr:nvSpPr>
        <xdr:cNvPr id="108" name="Textfeld 225"/>
        <xdr:cNvSpPr txBox="1"/>
      </xdr:nvSpPr>
      <xdr:spPr>
        <a:xfrm>
          <a:off x="3464719" y="5774531"/>
          <a:ext cx="1809750" cy="58340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Mittagessen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Feld</a:t>
          </a:r>
        </a:p>
      </xdr:txBody>
    </xdr:sp>
    <xdr:clientData/>
  </xdr:twoCellAnchor>
  <xdr:twoCellAnchor>
    <xdr:from>
      <xdr:col>42</xdr:col>
      <xdr:colOff>0</xdr:colOff>
      <xdr:row>53</xdr:row>
      <xdr:rowOff>2</xdr:rowOff>
    </xdr:from>
    <xdr:to>
      <xdr:col>43</xdr:col>
      <xdr:colOff>0</xdr:colOff>
      <xdr:row>59</xdr:row>
      <xdr:rowOff>1</xdr:rowOff>
    </xdr:to>
    <xdr:sp macro="" textlink="">
      <xdr:nvSpPr>
        <xdr:cNvPr id="110" name="Textfeld 117"/>
        <xdr:cNvSpPr txBox="1"/>
      </xdr:nvSpPr>
      <xdr:spPr>
        <a:xfrm>
          <a:off x="9402885" y="8804521"/>
          <a:ext cx="244230" cy="87923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30</a:t>
          </a:r>
        </a:p>
      </xdr:txBody>
    </xdr:sp>
    <xdr:clientData/>
  </xdr:twoCellAnchor>
  <xdr:twoCellAnchor>
    <xdr:from>
      <xdr:col>30</xdr:col>
      <xdr:colOff>0</xdr:colOff>
      <xdr:row>74</xdr:row>
      <xdr:rowOff>0</xdr:rowOff>
    </xdr:from>
    <xdr:to>
      <xdr:col>38</xdr:col>
      <xdr:colOff>0</xdr:colOff>
      <xdr:row>76</xdr:row>
      <xdr:rowOff>0</xdr:rowOff>
    </xdr:to>
    <xdr:sp macro="" textlink="">
      <xdr:nvSpPr>
        <xdr:cNvPr id="114" name="Textfeld 225"/>
        <xdr:cNvSpPr txBox="1"/>
      </xdr:nvSpPr>
      <xdr:spPr>
        <a:xfrm>
          <a:off x="6618654" y="11881827"/>
          <a:ext cx="1856154" cy="293077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44</xdr:col>
      <xdr:colOff>0</xdr:colOff>
      <xdr:row>74</xdr:row>
      <xdr:rowOff>0</xdr:rowOff>
    </xdr:from>
    <xdr:to>
      <xdr:col>54</xdr:col>
      <xdr:colOff>0</xdr:colOff>
      <xdr:row>76</xdr:row>
      <xdr:rowOff>0</xdr:rowOff>
    </xdr:to>
    <xdr:sp macro="" textlink="">
      <xdr:nvSpPr>
        <xdr:cNvPr id="115" name="Textfeld 225"/>
        <xdr:cNvSpPr txBox="1"/>
      </xdr:nvSpPr>
      <xdr:spPr>
        <a:xfrm>
          <a:off x="9708173" y="11881827"/>
          <a:ext cx="2320192" cy="293077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46</xdr:col>
      <xdr:colOff>0</xdr:colOff>
      <xdr:row>71</xdr:row>
      <xdr:rowOff>0</xdr:rowOff>
    </xdr:from>
    <xdr:to>
      <xdr:col>54</xdr:col>
      <xdr:colOff>5803</xdr:colOff>
      <xdr:row>74</xdr:row>
      <xdr:rowOff>0</xdr:rowOff>
    </xdr:to>
    <xdr:sp macro="" textlink="">
      <xdr:nvSpPr>
        <xdr:cNvPr id="116" name="Textfeld 225"/>
        <xdr:cNvSpPr txBox="1"/>
      </xdr:nvSpPr>
      <xdr:spPr>
        <a:xfrm>
          <a:off x="9965531" y="11203781"/>
          <a:ext cx="1815553" cy="42862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WEB</a:t>
          </a:r>
          <a:r>
            <a:rPr lang="de-CH" sz="900" b="1" i="0" u="none" baseline="0">
              <a:solidFill>
                <a:sysClr val="windowText" lastClr="000000"/>
              </a:solidFill>
              <a:latin typeface="Arial"/>
            </a:rPr>
            <a:t> /</a:t>
          </a:r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 Vorb Vs Therwil</a:t>
          </a:r>
        </a:p>
      </xdr:txBody>
    </xdr:sp>
    <xdr:clientData/>
  </xdr:twoCellAnchor>
  <xdr:twoCellAnchor>
    <xdr:from>
      <xdr:col>44</xdr:col>
      <xdr:colOff>0</xdr:colOff>
      <xdr:row>57</xdr:row>
      <xdr:rowOff>0</xdr:rowOff>
    </xdr:from>
    <xdr:to>
      <xdr:col>54</xdr:col>
      <xdr:colOff>0</xdr:colOff>
      <xdr:row>61</xdr:row>
      <xdr:rowOff>0</xdr:rowOff>
    </xdr:to>
    <xdr:sp macro="" textlink="">
      <xdr:nvSpPr>
        <xdr:cNvPr id="118" name="Textfeld 225"/>
        <xdr:cNvSpPr txBox="1"/>
      </xdr:nvSpPr>
      <xdr:spPr>
        <a:xfrm>
          <a:off x="9708173" y="9390673"/>
          <a:ext cx="2320192" cy="58615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Nachtessen</a:t>
          </a:r>
        </a:p>
        <a:p>
          <a:pPr algn="ctr"/>
          <a:r>
            <a:rPr lang="de-CH" sz="9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55</xdr:col>
      <xdr:colOff>0</xdr:colOff>
      <xdr:row>49</xdr:row>
      <xdr:rowOff>0</xdr:rowOff>
    </xdr:from>
    <xdr:to>
      <xdr:col>57</xdr:col>
      <xdr:colOff>0</xdr:colOff>
      <xdr:row>61</xdr:row>
      <xdr:rowOff>0</xdr:rowOff>
    </xdr:to>
    <xdr:sp macro="" textlink="">
      <xdr:nvSpPr>
        <xdr:cNvPr id="119" name="Textfeld 193"/>
        <xdr:cNvSpPr txBox="1"/>
      </xdr:nvSpPr>
      <xdr:spPr>
        <a:xfrm>
          <a:off x="12260385" y="8218365"/>
          <a:ext cx="476250" cy="1758462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Bat Rap inkl Qual Rap I</a:t>
          </a:r>
        </a:p>
        <a:p>
          <a:pPr marL="0" indent="0" algn="ctr"/>
          <a:r>
            <a:rPr lang="en-US" sz="8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Stao INf Kp 56/3</a:t>
          </a:r>
        </a:p>
      </xdr:txBody>
    </xdr:sp>
    <xdr:clientData/>
  </xdr:twoCellAnchor>
  <xdr:twoCellAnchor>
    <xdr:from>
      <xdr:col>56</xdr:col>
      <xdr:colOff>0</xdr:colOff>
      <xdr:row>30</xdr:row>
      <xdr:rowOff>0</xdr:rowOff>
    </xdr:from>
    <xdr:to>
      <xdr:col>57</xdr:col>
      <xdr:colOff>3502</xdr:colOff>
      <xdr:row>31</xdr:row>
      <xdr:rowOff>140073</xdr:rowOff>
    </xdr:to>
    <xdr:sp macro="" textlink="">
      <xdr:nvSpPr>
        <xdr:cNvPr id="121" name="Textfeld 193"/>
        <xdr:cNvSpPr txBox="1"/>
      </xdr:nvSpPr>
      <xdr:spPr>
        <a:xfrm>
          <a:off x="12102353" y="5401235"/>
          <a:ext cx="250031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DR</a:t>
          </a:r>
        </a:p>
      </xdr:txBody>
    </xdr:sp>
    <xdr:clientData/>
  </xdr:twoCellAnchor>
  <xdr:twoCellAnchor>
    <xdr:from>
      <xdr:col>54</xdr:col>
      <xdr:colOff>1</xdr:colOff>
      <xdr:row>45</xdr:row>
      <xdr:rowOff>0</xdr:rowOff>
    </xdr:from>
    <xdr:to>
      <xdr:col>55</xdr:col>
      <xdr:colOff>0</xdr:colOff>
      <xdr:row>61</xdr:row>
      <xdr:rowOff>0</xdr:rowOff>
    </xdr:to>
    <xdr:sp macro="" textlink="">
      <xdr:nvSpPr>
        <xdr:cNvPr id="123" name="Textfeld 117"/>
        <xdr:cNvSpPr txBox="1"/>
      </xdr:nvSpPr>
      <xdr:spPr>
        <a:xfrm>
          <a:off x="11775282" y="7489031"/>
          <a:ext cx="226218" cy="228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Höh Uof Ausb </a:t>
          </a: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gem beso Bf</a:t>
          </a:r>
        </a:p>
      </xdr:txBody>
    </xdr:sp>
    <xdr:clientData/>
  </xdr:twoCellAnchor>
  <xdr:twoCellAnchor>
    <xdr:from>
      <xdr:col>70</xdr:col>
      <xdr:colOff>0</xdr:colOff>
      <xdr:row>37</xdr:row>
      <xdr:rowOff>0</xdr:rowOff>
    </xdr:from>
    <xdr:to>
      <xdr:col>71</xdr:col>
      <xdr:colOff>0</xdr:colOff>
      <xdr:row>55</xdr:row>
      <xdr:rowOff>0</xdr:rowOff>
    </xdr:to>
    <xdr:sp macro="" textlink="">
      <xdr:nvSpPr>
        <xdr:cNvPr id="129" name="Textfeld 117"/>
        <xdr:cNvSpPr txBox="1"/>
      </xdr:nvSpPr>
      <xdr:spPr>
        <a:xfrm>
          <a:off x="15581923" y="6459904"/>
          <a:ext cx="244231" cy="263769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50</a:t>
          </a:r>
        </a:p>
      </xdr:txBody>
    </xdr:sp>
    <xdr:clientData/>
  </xdr:twoCellAnchor>
  <xdr:twoCellAnchor>
    <xdr:from>
      <xdr:col>32</xdr:col>
      <xdr:colOff>0</xdr:colOff>
      <xdr:row>22</xdr:row>
      <xdr:rowOff>0</xdr:rowOff>
    </xdr:from>
    <xdr:to>
      <xdr:col>38</xdr:col>
      <xdr:colOff>0</xdr:colOff>
      <xdr:row>26</xdr:row>
      <xdr:rowOff>0</xdr:rowOff>
    </xdr:to>
    <xdr:sp macro="" textlink="">
      <xdr:nvSpPr>
        <xdr:cNvPr id="130" name="Textfeld 117"/>
        <xdr:cNvSpPr txBox="1"/>
      </xdr:nvSpPr>
      <xdr:spPr>
        <a:xfrm>
          <a:off x="7082692" y="4261827"/>
          <a:ext cx="1392116" cy="586154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I1</a:t>
          </a:r>
        </a:p>
        <a:p>
          <a:pPr marL="0" indent="0" algn="ctr" rtl="0">
            <a:defRPr sz="1000"/>
          </a:pPr>
          <a:r>
            <a:rPr lang="de-CH" sz="1000" b="0" i="0" baseline="0">
              <a:effectLst/>
              <a:latin typeface="+mn-lt"/>
              <a:ea typeface="+mn-ea"/>
              <a:cs typeface="+mn-cs"/>
            </a:rPr>
            <a:t>Härkingen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30</xdr:col>
      <xdr:colOff>0</xdr:colOff>
      <xdr:row>33</xdr:row>
      <xdr:rowOff>0</xdr:rowOff>
    </xdr:from>
    <xdr:to>
      <xdr:col>38</xdr:col>
      <xdr:colOff>0</xdr:colOff>
      <xdr:row>37</xdr:row>
      <xdr:rowOff>0</xdr:rowOff>
    </xdr:to>
    <xdr:sp macro="" textlink="">
      <xdr:nvSpPr>
        <xdr:cNvPr id="133" name="Textfeld 225"/>
        <xdr:cNvSpPr txBox="1"/>
      </xdr:nvSpPr>
      <xdr:spPr>
        <a:xfrm>
          <a:off x="6488906" y="5774531"/>
          <a:ext cx="1809750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Mittagessen</a:t>
          </a:r>
        </a:p>
        <a:p>
          <a:pPr algn="ctr"/>
          <a:r>
            <a:rPr lang="de-CH" sz="9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44</xdr:col>
      <xdr:colOff>0</xdr:colOff>
      <xdr:row>33</xdr:row>
      <xdr:rowOff>0</xdr:rowOff>
    </xdr:from>
    <xdr:to>
      <xdr:col>54</xdr:col>
      <xdr:colOff>0</xdr:colOff>
      <xdr:row>37</xdr:row>
      <xdr:rowOff>0</xdr:rowOff>
    </xdr:to>
    <xdr:sp macro="" textlink="">
      <xdr:nvSpPr>
        <xdr:cNvPr id="134" name="Textfeld 225"/>
        <xdr:cNvSpPr txBox="1"/>
      </xdr:nvSpPr>
      <xdr:spPr>
        <a:xfrm>
          <a:off x="9708173" y="5873750"/>
          <a:ext cx="2320192" cy="58615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Mittagessen</a:t>
          </a:r>
        </a:p>
        <a:p>
          <a:pPr algn="ctr"/>
          <a:endParaRPr lang="de-CH" sz="9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58</xdr:col>
      <xdr:colOff>0</xdr:colOff>
      <xdr:row>33</xdr:row>
      <xdr:rowOff>0</xdr:rowOff>
    </xdr:from>
    <xdr:to>
      <xdr:col>66</xdr:col>
      <xdr:colOff>0</xdr:colOff>
      <xdr:row>37</xdr:row>
      <xdr:rowOff>0</xdr:rowOff>
    </xdr:to>
    <xdr:sp macro="" textlink="">
      <xdr:nvSpPr>
        <xdr:cNvPr id="135" name="Textfeld 225"/>
        <xdr:cNvSpPr txBox="1"/>
      </xdr:nvSpPr>
      <xdr:spPr>
        <a:xfrm>
          <a:off x="12537281" y="5774531"/>
          <a:ext cx="1809750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Mittagessen</a:t>
          </a:r>
        </a:p>
        <a:p>
          <a:pPr algn="ctr"/>
          <a:r>
            <a:rPr lang="de-CH" sz="9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30</xdr:col>
      <xdr:colOff>0</xdr:colOff>
      <xdr:row>15</xdr:row>
      <xdr:rowOff>0</xdr:rowOff>
    </xdr:from>
    <xdr:to>
      <xdr:col>32</xdr:col>
      <xdr:colOff>0</xdr:colOff>
      <xdr:row>33</xdr:row>
      <xdr:rowOff>0</xdr:rowOff>
    </xdr:to>
    <xdr:sp macro="" textlink="">
      <xdr:nvSpPr>
        <xdr:cNvPr id="139" name="Text 693"/>
        <xdr:cNvSpPr txBox="1">
          <a:spLocks noChangeArrowheads="1"/>
        </xdr:cNvSpPr>
      </xdr:nvSpPr>
      <xdr:spPr bwMode="auto">
        <a:xfrm flipV="1">
          <a:off x="6618654" y="3236058"/>
          <a:ext cx="464038" cy="2637692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 inkl Vorb Waffeninspektion / Ausb IS KP Pers</a:t>
          </a:r>
        </a:p>
      </xdr:txBody>
    </xdr:sp>
    <xdr:clientData/>
  </xdr:twoCellAnchor>
  <xdr:twoCellAnchor>
    <xdr:from>
      <xdr:col>30</xdr:col>
      <xdr:colOff>0</xdr:colOff>
      <xdr:row>57</xdr:row>
      <xdr:rowOff>0</xdr:rowOff>
    </xdr:from>
    <xdr:to>
      <xdr:col>38</xdr:col>
      <xdr:colOff>0</xdr:colOff>
      <xdr:row>61</xdr:row>
      <xdr:rowOff>0</xdr:rowOff>
    </xdr:to>
    <xdr:sp macro="" textlink="">
      <xdr:nvSpPr>
        <xdr:cNvPr id="141" name="Textfeld 225"/>
        <xdr:cNvSpPr txBox="1"/>
      </xdr:nvSpPr>
      <xdr:spPr>
        <a:xfrm>
          <a:off x="6618654" y="9390673"/>
          <a:ext cx="1856154" cy="58615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Nachtessen</a:t>
          </a:r>
        </a:p>
        <a:p>
          <a:pPr algn="ctr"/>
          <a:r>
            <a:rPr lang="de-CH" sz="9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44</xdr:col>
      <xdr:colOff>0</xdr:colOff>
      <xdr:row>60</xdr:row>
      <xdr:rowOff>146538</xdr:rowOff>
    </xdr:from>
    <xdr:to>
      <xdr:col>46</xdr:col>
      <xdr:colOff>0</xdr:colOff>
      <xdr:row>73</xdr:row>
      <xdr:rowOff>146537</xdr:rowOff>
    </xdr:to>
    <xdr:sp macro="" textlink="">
      <xdr:nvSpPr>
        <xdr:cNvPr id="143" name="Text 693"/>
        <xdr:cNvSpPr txBox="1">
          <a:spLocks noChangeArrowheads="1"/>
        </xdr:cNvSpPr>
      </xdr:nvSpPr>
      <xdr:spPr bwMode="auto">
        <a:xfrm flipV="1">
          <a:off x="9708173" y="9976826"/>
          <a:ext cx="464039" cy="1904999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44</xdr:col>
      <xdr:colOff>0</xdr:colOff>
      <xdr:row>37</xdr:row>
      <xdr:rowOff>0</xdr:rowOff>
    </xdr:from>
    <xdr:to>
      <xdr:col>46</xdr:col>
      <xdr:colOff>1</xdr:colOff>
      <xdr:row>57</xdr:row>
      <xdr:rowOff>0</xdr:rowOff>
    </xdr:to>
    <xdr:sp macro="" textlink="">
      <xdr:nvSpPr>
        <xdr:cNvPr id="144" name="Text 693"/>
        <xdr:cNvSpPr txBox="1">
          <a:spLocks noChangeArrowheads="1"/>
        </xdr:cNvSpPr>
      </xdr:nvSpPr>
      <xdr:spPr bwMode="auto">
        <a:xfrm flipV="1">
          <a:off x="9708173" y="6459904"/>
          <a:ext cx="464040" cy="2930769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 / </a:t>
          </a:r>
          <a:r>
            <a:rPr lang="fr-CH" sz="800" b="0" i="0" baseline="0">
              <a:effectLst/>
              <a:latin typeface="+mn-lt"/>
              <a:ea typeface="+mn-ea"/>
              <a:cs typeface="+mn-cs"/>
            </a:rPr>
            <a:t>Ausb Pers Wf</a:t>
          </a:r>
          <a:endParaRPr lang="fr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44</xdr:col>
      <xdr:colOff>0</xdr:colOff>
      <xdr:row>15</xdr:row>
      <xdr:rowOff>0</xdr:rowOff>
    </xdr:from>
    <xdr:to>
      <xdr:col>46</xdr:col>
      <xdr:colOff>1</xdr:colOff>
      <xdr:row>33</xdr:row>
      <xdr:rowOff>0</xdr:rowOff>
    </xdr:to>
    <xdr:sp macro="" textlink="">
      <xdr:nvSpPr>
        <xdr:cNvPr id="145" name="Text 693"/>
        <xdr:cNvSpPr txBox="1">
          <a:spLocks noChangeArrowheads="1"/>
        </xdr:cNvSpPr>
      </xdr:nvSpPr>
      <xdr:spPr bwMode="auto">
        <a:xfrm flipV="1">
          <a:off x="9513094" y="3202781"/>
          <a:ext cx="452438" cy="257175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 / Ausb Pers Wf</a:t>
          </a:r>
        </a:p>
      </xdr:txBody>
    </xdr:sp>
    <xdr:clientData/>
  </xdr:twoCellAnchor>
  <xdr:twoCellAnchor>
    <xdr:from>
      <xdr:col>58</xdr:col>
      <xdr:colOff>0</xdr:colOff>
      <xdr:row>15</xdr:row>
      <xdr:rowOff>0</xdr:rowOff>
    </xdr:from>
    <xdr:to>
      <xdr:col>60</xdr:col>
      <xdr:colOff>0</xdr:colOff>
      <xdr:row>33</xdr:row>
      <xdr:rowOff>0</xdr:rowOff>
    </xdr:to>
    <xdr:sp macro="" textlink="">
      <xdr:nvSpPr>
        <xdr:cNvPr id="149" name="Text 693"/>
        <xdr:cNvSpPr txBox="1">
          <a:spLocks noChangeArrowheads="1"/>
        </xdr:cNvSpPr>
      </xdr:nvSpPr>
      <xdr:spPr bwMode="auto">
        <a:xfrm flipV="1">
          <a:off x="12537281" y="3202781"/>
          <a:ext cx="452438" cy="257175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58</xdr:col>
      <xdr:colOff>0</xdr:colOff>
      <xdr:row>36</xdr:row>
      <xdr:rowOff>146538</xdr:rowOff>
    </xdr:from>
    <xdr:to>
      <xdr:col>60</xdr:col>
      <xdr:colOff>0</xdr:colOff>
      <xdr:row>56</xdr:row>
      <xdr:rowOff>146537</xdr:rowOff>
    </xdr:to>
    <xdr:sp macro="" textlink="">
      <xdr:nvSpPr>
        <xdr:cNvPr id="150" name="Text 693"/>
        <xdr:cNvSpPr txBox="1">
          <a:spLocks noChangeArrowheads="1"/>
        </xdr:cNvSpPr>
      </xdr:nvSpPr>
      <xdr:spPr bwMode="auto">
        <a:xfrm flipV="1">
          <a:off x="12797692" y="6459903"/>
          <a:ext cx="464039" cy="2930769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2</xdr:col>
      <xdr:colOff>0</xdr:colOff>
      <xdr:row>39</xdr:row>
      <xdr:rowOff>0</xdr:rowOff>
    </xdr:from>
    <xdr:to>
      <xdr:col>10</xdr:col>
      <xdr:colOff>0</xdr:colOff>
      <xdr:row>47</xdr:row>
      <xdr:rowOff>0</xdr:rowOff>
    </xdr:to>
    <xdr:sp macro="" textlink="">
      <xdr:nvSpPr>
        <xdr:cNvPr id="160" name="Textfeld 117"/>
        <xdr:cNvSpPr txBox="1"/>
      </xdr:nvSpPr>
      <xdr:spPr>
        <a:xfrm>
          <a:off x="439615" y="6752981"/>
          <a:ext cx="1856154" cy="117230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E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Härkingen</a:t>
          </a:r>
        </a:p>
      </xdr:txBody>
    </xdr:sp>
    <xdr:clientData/>
  </xdr:twoCellAnchor>
  <xdr:twoCellAnchor>
    <xdr:from>
      <xdr:col>32</xdr:col>
      <xdr:colOff>0</xdr:colOff>
      <xdr:row>42</xdr:row>
      <xdr:rowOff>1</xdr:rowOff>
    </xdr:from>
    <xdr:to>
      <xdr:col>38</xdr:col>
      <xdr:colOff>0</xdr:colOff>
      <xdr:row>49</xdr:row>
      <xdr:rowOff>0</xdr:rowOff>
    </xdr:to>
    <xdr:sp macro="" textlink="">
      <xdr:nvSpPr>
        <xdr:cNvPr id="165" name="Textfeld 117"/>
        <xdr:cNvSpPr txBox="1"/>
      </xdr:nvSpPr>
      <xdr:spPr>
        <a:xfrm>
          <a:off x="7082692" y="7192597"/>
          <a:ext cx="1392116" cy="1025768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I2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Härkingen</a:t>
          </a:r>
        </a:p>
      </xdr:txBody>
    </xdr:sp>
    <xdr:clientData/>
  </xdr:twoCellAnchor>
  <xdr:twoCellAnchor>
    <xdr:from>
      <xdr:col>2</xdr:col>
      <xdr:colOff>1</xdr:colOff>
      <xdr:row>37</xdr:row>
      <xdr:rowOff>0</xdr:rowOff>
    </xdr:from>
    <xdr:to>
      <xdr:col>10</xdr:col>
      <xdr:colOff>0</xdr:colOff>
      <xdr:row>38</xdr:row>
      <xdr:rowOff>0</xdr:rowOff>
    </xdr:to>
    <xdr:sp macro="" textlink="">
      <xdr:nvSpPr>
        <xdr:cNvPr id="169" name="Textfeld 225"/>
        <xdr:cNvSpPr txBox="1"/>
      </xdr:nvSpPr>
      <xdr:spPr>
        <a:xfrm>
          <a:off x="440532" y="6346031"/>
          <a:ext cx="1809749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1300 - HV</a:t>
          </a:r>
        </a:p>
      </xdr:txBody>
    </xdr:sp>
    <xdr:clientData/>
  </xdr:twoCellAnchor>
  <xdr:twoCellAnchor>
    <xdr:from>
      <xdr:col>32</xdr:col>
      <xdr:colOff>0</xdr:colOff>
      <xdr:row>15</xdr:row>
      <xdr:rowOff>0</xdr:rowOff>
    </xdr:from>
    <xdr:to>
      <xdr:col>38</xdr:col>
      <xdr:colOff>0</xdr:colOff>
      <xdr:row>21</xdr:row>
      <xdr:rowOff>0</xdr:rowOff>
    </xdr:to>
    <xdr:sp macro="" textlink="">
      <xdr:nvSpPr>
        <xdr:cNvPr id="162" name="Textfeld 117"/>
        <xdr:cNvSpPr txBox="1"/>
      </xdr:nvSpPr>
      <xdr:spPr>
        <a:xfrm>
          <a:off x="7082692" y="3236058"/>
          <a:ext cx="1392116" cy="87923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B + C</a:t>
          </a:r>
        </a:p>
        <a:p>
          <a:pPr marL="0" indent="0" algn="ctr" rtl="0">
            <a:defRPr sz="1000"/>
          </a:pPr>
          <a:r>
            <a:rPr lang="de-CH" sz="1000" b="0" i="0" baseline="0">
              <a:effectLst/>
              <a:latin typeface="+mn-lt"/>
              <a:ea typeface="+mn-ea"/>
              <a:cs typeface="+mn-cs"/>
            </a:rPr>
            <a:t>Ukft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2</xdr:col>
      <xdr:colOff>1</xdr:colOff>
      <xdr:row>7</xdr:row>
      <xdr:rowOff>0</xdr:rowOff>
    </xdr:from>
    <xdr:to>
      <xdr:col>10</xdr:col>
      <xdr:colOff>1</xdr:colOff>
      <xdr:row>8</xdr:row>
      <xdr:rowOff>0</xdr:rowOff>
    </xdr:to>
    <xdr:sp macro="" textlink="">
      <xdr:nvSpPr>
        <xdr:cNvPr id="117" name="Textfeld 225"/>
        <xdr:cNvSpPr txBox="1"/>
      </xdr:nvSpPr>
      <xdr:spPr>
        <a:xfrm>
          <a:off x="440532" y="205978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24</xdr:col>
      <xdr:colOff>0</xdr:colOff>
      <xdr:row>8</xdr:row>
      <xdr:rowOff>0</xdr:rowOff>
    </xdr:to>
    <xdr:sp macro="" textlink="">
      <xdr:nvSpPr>
        <xdr:cNvPr id="131" name="Textfeld 225"/>
        <xdr:cNvSpPr txBox="1"/>
      </xdr:nvSpPr>
      <xdr:spPr>
        <a:xfrm>
          <a:off x="3464719" y="205978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30</xdr:col>
      <xdr:colOff>0</xdr:colOff>
      <xdr:row>7</xdr:row>
      <xdr:rowOff>0</xdr:rowOff>
    </xdr:from>
    <xdr:to>
      <xdr:col>38</xdr:col>
      <xdr:colOff>0</xdr:colOff>
      <xdr:row>8</xdr:row>
      <xdr:rowOff>0</xdr:rowOff>
    </xdr:to>
    <xdr:sp macro="" textlink="">
      <xdr:nvSpPr>
        <xdr:cNvPr id="136" name="Textfeld 225"/>
        <xdr:cNvSpPr txBox="1"/>
      </xdr:nvSpPr>
      <xdr:spPr>
        <a:xfrm>
          <a:off x="6618654" y="2063750"/>
          <a:ext cx="1856154" cy="146538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44</xdr:col>
      <xdr:colOff>3501</xdr:colOff>
      <xdr:row>6</xdr:row>
      <xdr:rowOff>896470</xdr:rowOff>
    </xdr:from>
    <xdr:to>
      <xdr:col>54</xdr:col>
      <xdr:colOff>0</xdr:colOff>
      <xdr:row>8</xdr:row>
      <xdr:rowOff>0</xdr:rowOff>
    </xdr:to>
    <xdr:sp macro="" textlink="">
      <xdr:nvSpPr>
        <xdr:cNvPr id="137" name="Textfeld 225"/>
        <xdr:cNvSpPr txBox="1"/>
      </xdr:nvSpPr>
      <xdr:spPr>
        <a:xfrm>
          <a:off x="9618148" y="2056279"/>
          <a:ext cx="2293705" cy="145677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58</xdr:col>
      <xdr:colOff>0</xdr:colOff>
      <xdr:row>6</xdr:row>
      <xdr:rowOff>896470</xdr:rowOff>
    </xdr:from>
    <xdr:to>
      <xdr:col>68</xdr:col>
      <xdr:colOff>0</xdr:colOff>
      <xdr:row>8</xdr:row>
      <xdr:rowOff>0</xdr:rowOff>
    </xdr:to>
    <xdr:sp macro="" textlink="">
      <xdr:nvSpPr>
        <xdr:cNvPr id="148" name="Textfeld 225"/>
        <xdr:cNvSpPr txBox="1"/>
      </xdr:nvSpPr>
      <xdr:spPr>
        <a:xfrm>
          <a:off x="12673853" y="2056279"/>
          <a:ext cx="2297206" cy="145677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2</xdr:col>
      <xdr:colOff>0</xdr:colOff>
      <xdr:row>75</xdr:row>
      <xdr:rowOff>0</xdr:rowOff>
    </xdr:from>
    <xdr:to>
      <xdr:col>10</xdr:col>
      <xdr:colOff>0</xdr:colOff>
      <xdr:row>77</xdr:row>
      <xdr:rowOff>0</xdr:rowOff>
    </xdr:to>
    <xdr:sp macro="" textlink="">
      <xdr:nvSpPr>
        <xdr:cNvPr id="152" name="Textfeld 225"/>
        <xdr:cNvSpPr txBox="1"/>
      </xdr:nvSpPr>
      <xdr:spPr>
        <a:xfrm>
          <a:off x="439615" y="12028365"/>
          <a:ext cx="1856154" cy="293077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56</xdr:col>
      <xdr:colOff>0</xdr:colOff>
      <xdr:row>39</xdr:row>
      <xdr:rowOff>0</xdr:rowOff>
    </xdr:from>
    <xdr:to>
      <xdr:col>57</xdr:col>
      <xdr:colOff>0</xdr:colOff>
      <xdr:row>44</xdr:row>
      <xdr:rowOff>0</xdr:rowOff>
    </xdr:to>
    <xdr:sp macro="" textlink="">
      <xdr:nvSpPr>
        <xdr:cNvPr id="122" name="Textfeld 117"/>
        <xdr:cNvSpPr txBox="1"/>
      </xdr:nvSpPr>
      <xdr:spPr>
        <a:xfrm>
          <a:off x="12492404" y="6752981"/>
          <a:ext cx="244231" cy="732692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41</a:t>
          </a:r>
        </a:p>
      </xdr:txBody>
    </xdr:sp>
    <xdr:clientData/>
  </xdr:twoCellAnchor>
  <xdr:twoCellAnchor>
    <xdr:from>
      <xdr:col>32</xdr:col>
      <xdr:colOff>0</xdr:colOff>
      <xdr:row>50</xdr:row>
      <xdr:rowOff>0</xdr:rowOff>
    </xdr:from>
    <xdr:to>
      <xdr:col>38</xdr:col>
      <xdr:colOff>0</xdr:colOff>
      <xdr:row>57</xdr:row>
      <xdr:rowOff>0</xdr:rowOff>
    </xdr:to>
    <xdr:sp macro="" textlink="">
      <xdr:nvSpPr>
        <xdr:cNvPr id="128" name="Textfeld 225"/>
        <xdr:cNvSpPr txBox="1"/>
      </xdr:nvSpPr>
      <xdr:spPr>
        <a:xfrm>
          <a:off x="7082692" y="8364904"/>
          <a:ext cx="1392116" cy="102576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WEB inkl Vorb Waffeninspektion 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32</xdr:col>
      <xdr:colOff>0</xdr:colOff>
      <xdr:row>36</xdr:row>
      <xdr:rowOff>146538</xdr:rowOff>
    </xdr:from>
    <xdr:to>
      <xdr:col>38</xdr:col>
      <xdr:colOff>0</xdr:colOff>
      <xdr:row>42</xdr:row>
      <xdr:rowOff>0</xdr:rowOff>
    </xdr:to>
    <xdr:sp macro="" textlink="">
      <xdr:nvSpPr>
        <xdr:cNvPr id="154" name="Textfeld 117"/>
        <xdr:cNvSpPr txBox="1"/>
      </xdr:nvSpPr>
      <xdr:spPr>
        <a:xfrm>
          <a:off x="7082692" y="6459903"/>
          <a:ext cx="1392116" cy="732693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HMV Bat Kdt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Härkingen</a:t>
          </a:r>
        </a:p>
      </xdr:txBody>
    </xdr:sp>
    <xdr:clientData/>
  </xdr:twoCellAnchor>
  <xdr:twoCellAnchor>
    <xdr:from>
      <xdr:col>46</xdr:col>
      <xdr:colOff>-1</xdr:colOff>
      <xdr:row>15</xdr:row>
      <xdr:rowOff>0</xdr:rowOff>
    </xdr:from>
    <xdr:to>
      <xdr:col>53</xdr:col>
      <xdr:colOff>232018</xdr:colOff>
      <xdr:row>33</xdr:row>
      <xdr:rowOff>0</xdr:rowOff>
    </xdr:to>
    <xdr:sp macro="" textlink="">
      <xdr:nvSpPr>
        <xdr:cNvPr id="158" name="Textfeld 117"/>
        <xdr:cNvSpPr txBox="1"/>
      </xdr:nvSpPr>
      <xdr:spPr>
        <a:xfrm>
          <a:off x="10172211" y="3236058"/>
          <a:ext cx="1856153" cy="263769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GWK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Härkingen</a:t>
          </a:r>
        </a:p>
      </xdr:txBody>
    </xdr:sp>
    <xdr:clientData/>
  </xdr:twoCellAnchor>
  <xdr:twoCellAnchor>
    <xdr:from>
      <xdr:col>45</xdr:col>
      <xdr:colOff>226217</xdr:colOff>
      <xdr:row>37</xdr:row>
      <xdr:rowOff>1</xdr:rowOff>
    </xdr:from>
    <xdr:to>
      <xdr:col>54</xdr:col>
      <xdr:colOff>0</xdr:colOff>
      <xdr:row>57</xdr:row>
      <xdr:rowOff>0</xdr:rowOff>
    </xdr:to>
    <xdr:sp macro="" textlink="">
      <xdr:nvSpPr>
        <xdr:cNvPr id="161" name="Textfeld 117"/>
        <xdr:cNvSpPr txBox="1"/>
      </xdr:nvSpPr>
      <xdr:spPr>
        <a:xfrm>
          <a:off x="9965530" y="6346032"/>
          <a:ext cx="1809751" cy="285749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 Modul Nachholer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Spittelberg, Fasiswald KD 4</a:t>
          </a:r>
        </a:p>
        <a:p>
          <a:pPr marL="0" indent="0" algn="ctr" rtl="0">
            <a:defRPr sz="1000"/>
          </a:pP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Restprogramm</a:t>
          </a:r>
        </a:p>
      </xdr:txBody>
    </xdr:sp>
    <xdr:clientData/>
  </xdr:twoCellAnchor>
  <xdr:twoCellAnchor>
    <xdr:from>
      <xdr:col>56</xdr:col>
      <xdr:colOff>0</xdr:colOff>
      <xdr:row>61</xdr:row>
      <xdr:rowOff>0</xdr:rowOff>
    </xdr:from>
    <xdr:to>
      <xdr:col>57</xdr:col>
      <xdr:colOff>0</xdr:colOff>
      <xdr:row>63</xdr:row>
      <xdr:rowOff>0</xdr:rowOff>
    </xdr:to>
    <xdr:sp macro="" textlink="">
      <xdr:nvSpPr>
        <xdr:cNvPr id="179" name="Textfeld 117"/>
        <xdr:cNvSpPr txBox="1"/>
      </xdr:nvSpPr>
      <xdr:spPr>
        <a:xfrm>
          <a:off x="12492404" y="9976827"/>
          <a:ext cx="244231" cy="29307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41</a:t>
          </a:r>
        </a:p>
      </xdr:txBody>
    </xdr:sp>
    <xdr:clientData/>
  </xdr:twoCellAnchor>
  <xdr:twoCellAnchor>
    <xdr:from>
      <xdr:col>59</xdr:col>
      <xdr:colOff>232018</xdr:colOff>
      <xdr:row>36</xdr:row>
      <xdr:rowOff>146538</xdr:rowOff>
    </xdr:from>
    <xdr:to>
      <xdr:col>66</xdr:col>
      <xdr:colOff>0</xdr:colOff>
      <xdr:row>56</xdr:row>
      <xdr:rowOff>146537</xdr:rowOff>
    </xdr:to>
    <xdr:sp macro="" textlink="">
      <xdr:nvSpPr>
        <xdr:cNvPr id="191" name="Textfeld 117"/>
        <xdr:cNvSpPr txBox="1"/>
      </xdr:nvSpPr>
      <xdr:spPr>
        <a:xfrm>
          <a:off x="13261730" y="6459903"/>
          <a:ext cx="1392116" cy="293076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AVOR CONEX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Erkundung Posten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  <a:p>
          <a:pPr marL="0" indent="0" algn="ctr" rtl="0">
            <a:defRPr sz="1000"/>
          </a:pP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74</xdr:col>
      <xdr:colOff>0</xdr:colOff>
      <xdr:row>15</xdr:row>
      <xdr:rowOff>3663</xdr:rowOff>
    </xdr:from>
    <xdr:to>
      <xdr:col>80</xdr:col>
      <xdr:colOff>0</xdr:colOff>
      <xdr:row>34</xdr:row>
      <xdr:rowOff>0</xdr:rowOff>
    </xdr:to>
    <xdr:sp macro="" textlink="">
      <xdr:nvSpPr>
        <xdr:cNvPr id="194" name="Textfeld 117"/>
        <xdr:cNvSpPr txBox="1"/>
      </xdr:nvSpPr>
      <xdr:spPr>
        <a:xfrm>
          <a:off x="15990094" y="3206444"/>
          <a:ext cx="1285875" cy="271096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AVOR CONEX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Posteneinrichtung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66</xdr:col>
      <xdr:colOff>0</xdr:colOff>
      <xdr:row>14</xdr:row>
      <xdr:rowOff>146538</xdr:rowOff>
    </xdr:from>
    <xdr:to>
      <xdr:col>68</xdr:col>
      <xdr:colOff>0</xdr:colOff>
      <xdr:row>82</xdr:row>
      <xdr:rowOff>146537</xdr:rowOff>
    </xdr:to>
    <xdr:sp macro="" textlink="">
      <xdr:nvSpPr>
        <xdr:cNvPr id="197" name="Textfeld 117"/>
        <xdr:cNvSpPr txBox="1"/>
      </xdr:nvSpPr>
      <xdr:spPr>
        <a:xfrm>
          <a:off x="14653846" y="3236057"/>
          <a:ext cx="464039" cy="9964615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80</xdr:col>
      <xdr:colOff>0</xdr:colOff>
      <xdr:row>7</xdr:row>
      <xdr:rowOff>0</xdr:rowOff>
    </xdr:from>
    <xdr:to>
      <xdr:col>82</xdr:col>
      <xdr:colOff>0</xdr:colOff>
      <xdr:row>39</xdr:row>
      <xdr:rowOff>0</xdr:rowOff>
    </xdr:to>
    <xdr:sp macro="" textlink="">
      <xdr:nvSpPr>
        <xdr:cNvPr id="198" name="Textfeld 117"/>
        <xdr:cNvSpPr txBox="1"/>
      </xdr:nvSpPr>
      <xdr:spPr>
        <a:xfrm>
          <a:off x="17275969" y="2059781"/>
          <a:ext cx="428625" cy="457200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80</xdr:col>
      <xdr:colOff>0</xdr:colOff>
      <xdr:row>44</xdr:row>
      <xdr:rowOff>0</xdr:rowOff>
    </xdr:from>
    <xdr:to>
      <xdr:col>82</xdr:col>
      <xdr:colOff>12823</xdr:colOff>
      <xdr:row>83</xdr:row>
      <xdr:rowOff>0</xdr:rowOff>
    </xdr:to>
    <xdr:sp macro="" textlink="">
      <xdr:nvSpPr>
        <xdr:cNvPr id="199" name="Textfeld 117"/>
        <xdr:cNvSpPr txBox="1"/>
      </xdr:nvSpPr>
      <xdr:spPr>
        <a:xfrm>
          <a:off x="17645673" y="7485673"/>
          <a:ext cx="452438" cy="571500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83</xdr:col>
      <xdr:colOff>189888</xdr:colOff>
      <xdr:row>13</xdr:row>
      <xdr:rowOff>0</xdr:rowOff>
    </xdr:from>
    <xdr:to>
      <xdr:col>85</xdr:col>
      <xdr:colOff>0</xdr:colOff>
      <xdr:row>15</xdr:row>
      <xdr:rowOff>0</xdr:rowOff>
    </xdr:to>
    <xdr:sp macro="" textlink="">
      <xdr:nvSpPr>
        <xdr:cNvPr id="200" name="Textfeld 193"/>
        <xdr:cNvSpPr txBox="1"/>
      </xdr:nvSpPr>
      <xdr:spPr>
        <a:xfrm>
          <a:off x="18108794" y="2917031"/>
          <a:ext cx="238737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84</xdr:col>
      <xdr:colOff>0</xdr:colOff>
      <xdr:row>50</xdr:row>
      <xdr:rowOff>0</xdr:rowOff>
    </xdr:from>
    <xdr:to>
      <xdr:col>85</xdr:col>
      <xdr:colOff>0</xdr:colOff>
      <xdr:row>52</xdr:row>
      <xdr:rowOff>0</xdr:rowOff>
    </xdr:to>
    <xdr:sp macro="" textlink="">
      <xdr:nvSpPr>
        <xdr:cNvPr id="201" name="Textfeld 193"/>
        <xdr:cNvSpPr txBox="1"/>
      </xdr:nvSpPr>
      <xdr:spPr>
        <a:xfrm>
          <a:off x="18524904" y="8364904"/>
          <a:ext cx="219808" cy="293077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70</xdr:col>
      <xdr:colOff>0</xdr:colOff>
      <xdr:row>17</xdr:row>
      <xdr:rowOff>0</xdr:rowOff>
    </xdr:from>
    <xdr:to>
      <xdr:col>71</xdr:col>
      <xdr:colOff>0</xdr:colOff>
      <xdr:row>33</xdr:row>
      <xdr:rowOff>0</xdr:rowOff>
    </xdr:to>
    <xdr:sp macro="" textlink="">
      <xdr:nvSpPr>
        <xdr:cNvPr id="203" name="Textfeld 117"/>
        <xdr:cNvSpPr txBox="1"/>
      </xdr:nvSpPr>
      <xdr:spPr>
        <a:xfrm>
          <a:off x="15251906" y="3488531"/>
          <a:ext cx="250032" cy="228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51</a:t>
          </a:r>
        </a:p>
      </xdr:txBody>
    </xdr:sp>
    <xdr:clientData/>
  </xdr:twoCellAnchor>
  <xdr:twoCellAnchor>
    <xdr:from>
      <xdr:col>75</xdr:col>
      <xdr:colOff>206985</xdr:colOff>
      <xdr:row>77</xdr:row>
      <xdr:rowOff>21981</xdr:rowOff>
    </xdr:from>
    <xdr:to>
      <xdr:col>78</xdr:col>
      <xdr:colOff>1</xdr:colOff>
      <xdr:row>81</xdr:row>
      <xdr:rowOff>7327</xdr:rowOff>
    </xdr:to>
    <xdr:sp macro="" textlink="">
      <xdr:nvSpPr>
        <xdr:cNvPr id="204" name="Textfeld 117"/>
        <xdr:cNvSpPr txBox="1"/>
      </xdr:nvSpPr>
      <xdr:spPr>
        <a:xfrm>
          <a:off x="16753620" y="12343423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75</xdr:col>
      <xdr:colOff>206986</xdr:colOff>
      <xdr:row>81</xdr:row>
      <xdr:rowOff>7327</xdr:rowOff>
    </xdr:from>
    <xdr:to>
      <xdr:col>78</xdr:col>
      <xdr:colOff>0</xdr:colOff>
      <xdr:row>83</xdr:row>
      <xdr:rowOff>0</xdr:rowOff>
    </xdr:to>
    <xdr:sp macro="" textlink="">
      <xdr:nvSpPr>
        <xdr:cNvPr id="205" name="Textfeld 117"/>
        <xdr:cNvSpPr txBox="1"/>
      </xdr:nvSpPr>
      <xdr:spPr>
        <a:xfrm>
          <a:off x="16753621" y="12914923"/>
          <a:ext cx="452437" cy="285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75</xdr:col>
      <xdr:colOff>206985</xdr:colOff>
      <xdr:row>44</xdr:row>
      <xdr:rowOff>0</xdr:rowOff>
    </xdr:from>
    <xdr:to>
      <xdr:col>78</xdr:col>
      <xdr:colOff>0</xdr:colOff>
      <xdr:row>77</xdr:row>
      <xdr:rowOff>21981</xdr:rowOff>
    </xdr:to>
    <xdr:sp macro="" textlink="">
      <xdr:nvSpPr>
        <xdr:cNvPr id="206" name="Textfeld 117"/>
        <xdr:cNvSpPr txBox="1"/>
      </xdr:nvSpPr>
      <xdr:spPr>
        <a:xfrm>
          <a:off x="16753620" y="7485673"/>
          <a:ext cx="452438" cy="4857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76</xdr:col>
      <xdr:colOff>0</xdr:colOff>
      <xdr:row>44</xdr:row>
      <xdr:rowOff>0</xdr:rowOff>
    </xdr:from>
    <xdr:to>
      <xdr:col>78</xdr:col>
      <xdr:colOff>0</xdr:colOff>
      <xdr:row>48</xdr:row>
      <xdr:rowOff>0</xdr:rowOff>
    </xdr:to>
    <xdr:sp macro="" textlink="">
      <xdr:nvSpPr>
        <xdr:cNvPr id="207" name="Textfeld 117"/>
        <xdr:cNvSpPr txBox="1"/>
      </xdr:nvSpPr>
      <xdr:spPr>
        <a:xfrm>
          <a:off x="16766442" y="7485673"/>
          <a:ext cx="439616" cy="586154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78</xdr:col>
      <xdr:colOff>0</xdr:colOff>
      <xdr:row>73</xdr:row>
      <xdr:rowOff>0</xdr:rowOff>
    </xdr:from>
    <xdr:to>
      <xdr:col>80</xdr:col>
      <xdr:colOff>0</xdr:colOff>
      <xdr:row>83</xdr:row>
      <xdr:rowOff>0</xdr:rowOff>
    </xdr:to>
    <xdr:sp macro="" textlink="">
      <xdr:nvSpPr>
        <xdr:cNvPr id="208" name="Textfeld 117"/>
        <xdr:cNvSpPr txBox="1"/>
      </xdr:nvSpPr>
      <xdr:spPr>
        <a:xfrm>
          <a:off x="17206058" y="11735288"/>
          <a:ext cx="439615" cy="146538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78</xdr:col>
      <xdr:colOff>0</xdr:colOff>
      <xdr:row>44</xdr:row>
      <xdr:rowOff>0</xdr:rowOff>
    </xdr:from>
    <xdr:to>
      <xdr:col>80</xdr:col>
      <xdr:colOff>0</xdr:colOff>
      <xdr:row>69</xdr:row>
      <xdr:rowOff>0</xdr:rowOff>
    </xdr:to>
    <xdr:sp macro="" textlink="">
      <xdr:nvSpPr>
        <xdr:cNvPr id="209" name="Textfeld 117"/>
        <xdr:cNvSpPr txBox="1"/>
      </xdr:nvSpPr>
      <xdr:spPr>
        <a:xfrm>
          <a:off x="17206058" y="7485673"/>
          <a:ext cx="439615" cy="366346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78</xdr:col>
      <xdr:colOff>0</xdr:colOff>
      <xdr:row>69</xdr:row>
      <xdr:rowOff>0</xdr:rowOff>
    </xdr:from>
    <xdr:to>
      <xdr:col>80</xdr:col>
      <xdr:colOff>0</xdr:colOff>
      <xdr:row>73</xdr:row>
      <xdr:rowOff>0</xdr:rowOff>
    </xdr:to>
    <xdr:sp macro="" textlink="">
      <xdr:nvSpPr>
        <xdr:cNvPr id="210" name="Textfeld 117"/>
        <xdr:cNvSpPr txBox="1"/>
      </xdr:nvSpPr>
      <xdr:spPr>
        <a:xfrm>
          <a:off x="17206058" y="11149135"/>
          <a:ext cx="439615" cy="586153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74</xdr:col>
      <xdr:colOff>0</xdr:colOff>
      <xdr:row>44</xdr:row>
      <xdr:rowOff>0</xdr:rowOff>
    </xdr:from>
    <xdr:to>
      <xdr:col>76</xdr:col>
      <xdr:colOff>0</xdr:colOff>
      <xdr:row>83</xdr:row>
      <xdr:rowOff>0</xdr:rowOff>
    </xdr:to>
    <xdr:sp macro="" textlink="">
      <xdr:nvSpPr>
        <xdr:cNvPr id="211" name="Textfeld 117"/>
        <xdr:cNvSpPr txBox="1"/>
      </xdr:nvSpPr>
      <xdr:spPr>
        <a:xfrm>
          <a:off x="16326827" y="7485673"/>
          <a:ext cx="439615" cy="5715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16</xdr:col>
      <xdr:colOff>0</xdr:colOff>
      <xdr:row>28</xdr:row>
      <xdr:rowOff>1</xdr:rowOff>
    </xdr:from>
    <xdr:to>
      <xdr:col>24</xdr:col>
      <xdr:colOff>1</xdr:colOff>
      <xdr:row>33</xdr:row>
      <xdr:rowOff>1</xdr:rowOff>
    </xdr:to>
    <xdr:sp macro="" textlink="">
      <xdr:nvSpPr>
        <xdr:cNvPr id="212" name="Textfeld 117"/>
        <xdr:cNvSpPr txBox="1"/>
      </xdr:nvSpPr>
      <xdr:spPr>
        <a:xfrm>
          <a:off x="3529135" y="5141059"/>
          <a:ext cx="1856154" cy="73269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G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Gehren</a:t>
          </a:r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24</xdr:col>
      <xdr:colOff>1</xdr:colOff>
      <xdr:row>74</xdr:row>
      <xdr:rowOff>0</xdr:rowOff>
    </xdr:to>
    <xdr:sp macro="" textlink="">
      <xdr:nvSpPr>
        <xdr:cNvPr id="8" name="Textfeld 117"/>
        <xdr:cNvSpPr txBox="1"/>
      </xdr:nvSpPr>
      <xdr:spPr>
        <a:xfrm>
          <a:off x="3529135" y="10562981"/>
          <a:ext cx="1856154" cy="1318846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Einf WK 2020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Th Db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 Modul A + W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16</xdr:col>
      <xdr:colOff>0</xdr:colOff>
      <xdr:row>37</xdr:row>
      <xdr:rowOff>0</xdr:rowOff>
    </xdr:from>
    <xdr:to>
      <xdr:col>24</xdr:col>
      <xdr:colOff>1</xdr:colOff>
      <xdr:row>44</xdr:row>
      <xdr:rowOff>0</xdr:rowOff>
    </xdr:to>
    <xdr:sp macro="" textlink="">
      <xdr:nvSpPr>
        <xdr:cNvPr id="215" name="Textfeld 117"/>
        <xdr:cNvSpPr txBox="1"/>
      </xdr:nvSpPr>
      <xdr:spPr>
        <a:xfrm>
          <a:off x="3529135" y="6459904"/>
          <a:ext cx="1856154" cy="102576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Modul G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Gehren</a:t>
          </a:r>
        </a:p>
      </xdr:txBody>
    </xdr:sp>
    <xdr:clientData/>
  </xdr:twoCellAnchor>
  <xdr:twoCellAnchor>
    <xdr:from>
      <xdr:col>41</xdr:col>
      <xdr:colOff>83343</xdr:colOff>
      <xdr:row>16</xdr:row>
      <xdr:rowOff>35719</xdr:rowOff>
    </xdr:from>
    <xdr:to>
      <xdr:col>42</xdr:col>
      <xdr:colOff>95556</xdr:colOff>
      <xdr:row>18</xdr:row>
      <xdr:rowOff>35719</xdr:rowOff>
    </xdr:to>
    <xdr:sp macro="" textlink="">
      <xdr:nvSpPr>
        <xdr:cNvPr id="216" name="Textfeld 193"/>
        <xdr:cNvSpPr txBox="1"/>
      </xdr:nvSpPr>
      <xdr:spPr>
        <a:xfrm>
          <a:off x="9060656" y="3381375"/>
          <a:ext cx="238431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</a:t>
          </a:r>
        </a:p>
      </xdr:txBody>
    </xdr:sp>
    <xdr:clientData/>
  </xdr:twoCellAnchor>
  <xdr:twoCellAnchor>
    <xdr:from>
      <xdr:col>16</xdr:col>
      <xdr:colOff>0</xdr:colOff>
      <xdr:row>53</xdr:row>
      <xdr:rowOff>0</xdr:rowOff>
    </xdr:from>
    <xdr:to>
      <xdr:col>24</xdr:col>
      <xdr:colOff>1</xdr:colOff>
      <xdr:row>57</xdr:row>
      <xdr:rowOff>0</xdr:rowOff>
    </xdr:to>
    <xdr:sp macro="" textlink="">
      <xdr:nvSpPr>
        <xdr:cNvPr id="217" name="Textfeld 225"/>
        <xdr:cNvSpPr txBox="1"/>
      </xdr:nvSpPr>
      <xdr:spPr>
        <a:xfrm>
          <a:off x="3529135" y="8804519"/>
          <a:ext cx="1856154" cy="58615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Vs</a:t>
          </a:r>
          <a:r>
            <a:rPr lang="de-CH" sz="900" b="1" i="0" u="none" baseline="0">
              <a:solidFill>
                <a:sysClr val="windowText" lastClr="000000"/>
              </a:solidFill>
              <a:latin typeface="Arial"/>
            </a:rPr>
            <a:t> / Reorg</a:t>
          </a:r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Achse</a:t>
          </a:r>
        </a:p>
      </xdr:txBody>
    </xdr:sp>
    <xdr:clientData/>
  </xdr:twoCellAnchor>
  <xdr:twoCellAnchor>
    <xdr:from>
      <xdr:col>30</xdr:col>
      <xdr:colOff>0</xdr:colOff>
      <xdr:row>61</xdr:row>
      <xdr:rowOff>0</xdr:rowOff>
    </xdr:from>
    <xdr:to>
      <xdr:col>38</xdr:col>
      <xdr:colOff>0</xdr:colOff>
      <xdr:row>69</xdr:row>
      <xdr:rowOff>0</xdr:rowOff>
    </xdr:to>
    <xdr:sp macro="" textlink="">
      <xdr:nvSpPr>
        <xdr:cNvPr id="218" name="Textfeld 117"/>
        <xdr:cNvSpPr txBox="1"/>
      </xdr:nvSpPr>
      <xdr:spPr>
        <a:xfrm>
          <a:off x="6488906" y="9775031"/>
          <a:ext cx="1809750" cy="11430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Zeit z Vf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Nachholer Ungenügende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24</xdr:col>
      <xdr:colOff>1</xdr:colOff>
      <xdr:row>16</xdr:row>
      <xdr:rowOff>0</xdr:rowOff>
    </xdr:to>
    <xdr:sp macro="" textlink="">
      <xdr:nvSpPr>
        <xdr:cNvPr id="219" name="Textfeld 225"/>
        <xdr:cNvSpPr txBox="1"/>
      </xdr:nvSpPr>
      <xdr:spPr>
        <a:xfrm>
          <a:off x="3529135" y="3089519"/>
          <a:ext cx="1856154" cy="293077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Vs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Achse</a:t>
          </a:r>
        </a:p>
      </xdr:txBody>
    </xdr:sp>
    <xdr:clientData/>
  </xdr:twoCellAnchor>
  <xdr:twoCellAnchor>
    <xdr:from>
      <xdr:col>16</xdr:col>
      <xdr:colOff>-1</xdr:colOff>
      <xdr:row>61</xdr:row>
      <xdr:rowOff>0</xdr:rowOff>
    </xdr:from>
    <xdr:to>
      <xdr:col>23</xdr:col>
      <xdr:colOff>232018</xdr:colOff>
      <xdr:row>65</xdr:row>
      <xdr:rowOff>0</xdr:rowOff>
    </xdr:to>
    <xdr:sp macro="" textlink="">
      <xdr:nvSpPr>
        <xdr:cNvPr id="220" name="Textfeld 225"/>
        <xdr:cNvSpPr txBox="1"/>
      </xdr:nvSpPr>
      <xdr:spPr>
        <a:xfrm>
          <a:off x="3529134" y="9976827"/>
          <a:ext cx="1856153" cy="58615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WEB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32</xdr:col>
      <xdr:colOff>0</xdr:colOff>
      <xdr:row>27</xdr:row>
      <xdr:rowOff>0</xdr:rowOff>
    </xdr:from>
    <xdr:to>
      <xdr:col>38</xdr:col>
      <xdr:colOff>0</xdr:colOff>
      <xdr:row>33</xdr:row>
      <xdr:rowOff>0</xdr:rowOff>
    </xdr:to>
    <xdr:sp macro="" textlink="">
      <xdr:nvSpPr>
        <xdr:cNvPr id="223" name="Textfeld 117"/>
        <xdr:cNvSpPr txBox="1"/>
      </xdr:nvSpPr>
      <xdr:spPr>
        <a:xfrm>
          <a:off x="7082692" y="4994519"/>
          <a:ext cx="1392116" cy="87923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Sport</a:t>
          </a:r>
        </a:p>
      </xdr:txBody>
    </xdr:sp>
    <xdr:clientData/>
  </xdr:twoCellAnchor>
  <xdr:twoCellAnchor>
    <xdr:from>
      <xdr:col>30</xdr:col>
      <xdr:colOff>0</xdr:colOff>
      <xdr:row>36</xdr:row>
      <xdr:rowOff>146538</xdr:rowOff>
    </xdr:from>
    <xdr:to>
      <xdr:col>32</xdr:col>
      <xdr:colOff>0</xdr:colOff>
      <xdr:row>56</xdr:row>
      <xdr:rowOff>146537</xdr:rowOff>
    </xdr:to>
    <xdr:sp macro="" textlink="">
      <xdr:nvSpPr>
        <xdr:cNvPr id="225" name="Text 693"/>
        <xdr:cNvSpPr txBox="1">
          <a:spLocks noChangeArrowheads="1"/>
        </xdr:cNvSpPr>
      </xdr:nvSpPr>
      <xdr:spPr bwMode="auto">
        <a:xfrm flipV="1">
          <a:off x="6618654" y="6459903"/>
          <a:ext cx="464038" cy="2930769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 inkl Vorb Waffeninspektion / Ausb IS KP Pers</a:t>
          </a:r>
        </a:p>
      </xdr:txBody>
    </xdr:sp>
    <xdr:clientData/>
  </xdr:twoCellAnchor>
  <xdr:twoCellAnchor>
    <xdr:from>
      <xdr:col>58</xdr:col>
      <xdr:colOff>1</xdr:colOff>
      <xdr:row>57</xdr:row>
      <xdr:rowOff>0</xdr:rowOff>
    </xdr:from>
    <xdr:to>
      <xdr:col>68</xdr:col>
      <xdr:colOff>0</xdr:colOff>
      <xdr:row>61</xdr:row>
      <xdr:rowOff>0</xdr:rowOff>
    </xdr:to>
    <xdr:sp macro="" textlink="">
      <xdr:nvSpPr>
        <xdr:cNvPr id="226" name="Textfeld 225"/>
        <xdr:cNvSpPr txBox="1"/>
      </xdr:nvSpPr>
      <xdr:spPr>
        <a:xfrm>
          <a:off x="12797693" y="9390673"/>
          <a:ext cx="2320192" cy="586154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Nachtessen</a:t>
          </a:r>
        </a:p>
        <a:p>
          <a:pPr algn="ctr"/>
          <a:r>
            <a:rPr lang="de-CH" sz="9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72</xdr:col>
      <xdr:colOff>1</xdr:colOff>
      <xdr:row>9</xdr:row>
      <xdr:rowOff>0</xdr:rowOff>
    </xdr:from>
    <xdr:to>
      <xdr:col>82</xdr:col>
      <xdr:colOff>0</xdr:colOff>
      <xdr:row>12</xdr:row>
      <xdr:rowOff>1</xdr:rowOff>
    </xdr:to>
    <xdr:sp macro="" textlink="">
      <xdr:nvSpPr>
        <xdr:cNvPr id="229" name="Textfeld 225"/>
        <xdr:cNvSpPr txBox="1"/>
      </xdr:nvSpPr>
      <xdr:spPr>
        <a:xfrm>
          <a:off x="15887213" y="2356827"/>
          <a:ext cx="2198075" cy="439616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72</xdr:col>
      <xdr:colOff>1</xdr:colOff>
      <xdr:row>12</xdr:row>
      <xdr:rowOff>141511</xdr:rowOff>
    </xdr:from>
    <xdr:to>
      <xdr:col>82</xdr:col>
      <xdr:colOff>1</xdr:colOff>
      <xdr:row>14</xdr:row>
      <xdr:rowOff>0</xdr:rowOff>
    </xdr:to>
    <xdr:sp macro="" textlink="">
      <xdr:nvSpPr>
        <xdr:cNvPr id="230" name="Textfeld 225"/>
        <xdr:cNvSpPr txBox="1"/>
      </xdr:nvSpPr>
      <xdr:spPr>
        <a:xfrm>
          <a:off x="15887213" y="2937953"/>
          <a:ext cx="2198076" cy="151566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72</xdr:col>
      <xdr:colOff>1</xdr:colOff>
      <xdr:row>7</xdr:row>
      <xdr:rowOff>0</xdr:rowOff>
    </xdr:from>
    <xdr:to>
      <xdr:col>82</xdr:col>
      <xdr:colOff>1</xdr:colOff>
      <xdr:row>8</xdr:row>
      <xdr:rowOff>0</xdr:rowOff>
    </xdr:to>
    <xdr:sp macro="" textlink="">
      <xdr:nvSpPr>
        <xdr:cNvPr id="231" name="Textfeld 225"/>
        <xdr:cNvSpPr txBox="1"/>
      </xdr:nvSpPr>
      <xdr:spPr>
        <a:xfrm>
          <a:off x="15887213" y="2063750"/>
          <a:ext cx="2198076" cy="146538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72</xdr:col>
      <xdr:colOff>0</xdr:colOff>
      <xdr:row>15</xdr:row>
      <xdr:rowOff>3663</xdr:rowOff>
    </xdr:from>
    <xdr:to>
      <xdr:col>74</xdr:col>
      <xdr:colOff>0</xdr:colOff>
      <xdr:row>39</xdr:row>
      <xdr:rowOff>3663</xdr:rowOff>
    </xdr:to>
    <xdr:sp macro="" textlink="">
      <xdr:nvSpPr>
        <xdr:cNvPr id="232" name="Text 693"/>
        <xdr:cNvSpPr txBox="1">
          <a:spLocks noChangeArrowheads="1"/>
        </xdr:cNvSpPr>
      </xdr:nvSpPr>
      <xdr:spPr bwMode="auto">
        <a:xfrm flipV="1">
          <a:off x="15561469" y="3206444"/>
          <a:ext cx="428625" cy="342900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72</xdr:col>
      <xdr:colOff>0</xdr:colOff>
      <xdr:row>43</xdr:row>
      <xdr:rowOff>146536</xdr:rowOff>
    </xdr:from>
    <xdr:to>
      <xdr:col>74</xdr:col>
      <xdr:colOff>0</xdr:colOff>
      <xdr:row>82</xdr:row>
      <xdr:rowOff>146537</xdr:rowOff>
    </xdr:to>
    <xdr:sp macro="" textlink="">
      <xdr:nvSpPr>
        <xdr:cNvPr id="233" name="Text 693"/>
        <xdr:cNvSpPr txBox="1">
          <a:spLocks noChangeArrowheads="1"/>
        </xdr:cNvSpPr>
      </xdr:nvSpPr>
      <xdr:spPr bwMode="auto">
        <a:xfrm flipV="1">
          <a:off x="15887212" y="7485671"/>
          <a:ext cx="439615" cy="5715001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74</xdr:col>
      <xdr:colOff>0</xdr:colOff>
      <xdr:row>34</xdr:row>
      <xdr:rowOff>3662</xdr:rowOff>
    </xdr:from>
    <xdr:to>
      <xdr:col>80</xdr:col>
      <xdr:colOff>0</xdr:colOff>
      <xdr:row>39</xdr:row>
      <xdr:rowOff>3663</xdr:rowOff>
    </xdr:to>
    <xdr:sp macro="" textlink="">
      <xdr:nvSpPr>
        <xdr:cNvPr id="235" name="Textfeld 117"/>
        <xdr:cNvSpPr txBox="1"/>
      </xdr:nvSpPr>
      <xdr:spPr>
        <a:xfrm>
          <a:off x="15990094" y="5921068"/>
          <a:ext cx="1285875" cy="71437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</a:t>
          </a:r>
          <a:endParaRPr lang="de-CH" sz="900">
            <a:effectLst/>
          </a:endParaRPr>
        </a:p>
      </xdr:txBody>
    </xdr:sp>
    <xdr:clientData/>
  </xdr:twoCellAnchor>
  <xdr:twoCellAnchor>
    <xdr:from>
      <xdr:col>56</xdr:col>
      <xdr:colOff>0</xdr:colOff>
      <xdr:row>15</xdr:row>
      <xdr:rowOff>0</xdr:rowOff>
    </xdr:from>
    <xdr:to>
      <xdr:col>57</xdr:col>
      <xdr:colOff>0</xdr:colOff>
      <xdr:row>30</xdr:row>
      <xdr:rowOff>0</xdr:rowOff>
    </xdr:to>
    <xdr:sp macro="" textlink="">
      <xdr:nvSpPr>
        <xdr:cNvPr id="112" name="Textfeld 117"/>
        <xdr:cNvSpPr txBox="1"/>
      </xdr:nvSpPr>
      <xdr:spPr>
        <a:xfrm>
          <a:off x="12227719" y="3202781"/>
          <a:ext cx="250031" cy="21431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40</a:t>
          </a:r>
        </a:p>
      </xdr:txBody>
    </xdr:sp>
    <xdr:clientData/>
  </xdr:twoCellAnchor>
  <xdr:twoCellAnchor>
    <xdr:from>
      <xdr:col>60</xdr:col>
      <xdr:colOff>0</xdr:colOff>
      <xdr:row>15</xdr:row>
      <xdr:rowOff>0</xdr:rowOff>
    </xdr:from>
    <xdr:to>
      <xdr:col>66</xdr:col>
      <xdr:colOff>0</xdr:colOff>
      <xdr:row>33</xdr:row>
      <xdr:rowOff>0</xdr:rowOff>
    </xdr:to>
    <xdr:sp macro="" textlink="">
      <xdr:nvSpPr>
        <xdr:cNvPr id="113" name="Textfeld 117"/>
        <xdr:cNvSpPr txBox="1"/>
      </xdr:nvSpPr>
      <xdr:spPr>
        <a:xfrm>
          <a:off x="12989719" y="3202781"/>
          <a:ext cx="1357312" cy="2571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Vs, Bezug Therwil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gem Bf</a:t>
          </a:r>
        </a:p>
      </xdr:txBody>
    </xdr:sp>
    <xdr:clientData/>
  </xdr:twoCellAnchor>
  <xdr:twoCellAnchor>
    <xdr:from>
      <xdr:col>60</xdr:col>
      <xdr:colOff>30894</xdr:colOff>
      <xdr:row>26</xdr:row>
      <xdr:rowOff>127061</xdr:rowOff>
    </xdr:from>
    <xdr:to>
      <xdr:col>65</xdr:col>
      <xdr:colOff>134936</xdr:colOff>
      <xdr:row>31</xdr:row>
      <xdr:rowOff>127061</xdr:rowOff>
    </xdr:to>
    <xdr:sp macro="" textlink="">
      <xdr:nvSpPr>
        <xdr:cNvPr id="234" name="Textfeld 117"/>
        <xdr:cNvSpPr txBox="1"/>
      </xdr:nvSpPr>
      <xdr:spPr>
        <a:xfrm>
          <a:off x="13020613" y="4901467"/>
          <a:ext cx="1235136" cy="714375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Theorie GWK</a:t>
          </a:r>
        </a:p>
      </xdr:txBody>
    </xdr:sp>
    <xdr:clientData/>
  </xdr:twoCellAnchor>
  <xdr:twoCellAnchor>
    <xdr:from>
      <xdr:col>84</xdr:col>
      <xdr:colOff>1</xdr:colOff>
      <xdr:row>44</xdr:row>
      <xdr:rowOff>0</xdr:rowOff>
    </xdr:from>
    <xdr:to>
      <xdr:col>85</xdr:col>
      <xdr:colOff>1</xdr:colOff>
      <xdr:row>46</xdr:row>
      <xdr:rowOff>0</xdr:rowOff>
    </xdr:to>
    <xdr:sp macro="" textlink="">
      <xdr:nvSpPr>
        <xdr:cNvPr id="120" name="Textfeld 117"/>
        <xdr:cNvSpPr txBox="1"/>
      </xdr:nvSpPr>
      <xdr:spPr>
        <a:xfrm>
          <a:off x="18133220" y="7346156"/>
          <a:ext cx="214312" cy="285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70</a:t>
          </a:r>
        </a:p>
      </xdr:txBody>
    </xdr:sp>
    <xdr:clientData/>
  </xdr:twoCellAnchor>
  <xdr:twoCellAnchor>
    <xdr:from>
      <xdr:col>58</xdr:col>
      <xdr:colOff>0</xdr:colOff>
      <xdr:row>67</xdr:row>
      <xdr:rowOff>0</xdr:rowOff>
    </xdr:from>
    <xdr:to>
      <xdr:col>66</xdr:col>
      <xdr:colOff>0</xdr:colOff>
      <xdr:row>73</xdr:row>
      <xdr:rowOff>0</xdr:rowOff>
    </xdr:to>
    <xdr:sp macro="" textlink="">
      <xdr:nvSpPr>
        <xdr:cNvPr id="124" name="Textfeld 117"/>
        <xdr:cNvSpPr txBox="1"/>
      </xdr:nvSpPr>
      <xdr:spPr>
        <a:xfrm>
          <a:off x="12537281" y="10632281"/>
          <a:ext cx="1809750" cy="85725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Zeit z Vf</a:t>
          </a:r>
        </a:p>
      </xdr:txBody>
    </xdr:sp>
    <xdr:clientData/>
  </xdr:twoCellAnchor>
  <xdr:twoCellAnchor>
    <xdr:from>
      <xdr:col>58</xdr:col>
      <xdr:colOff>1</xdr:colOff>
      <xdr:row>77</xdr:row>
      <xdr:rowOff>0</xdr:rowOff>
    </xdr:from>
    <xdr:to>
      <xdr:col>68</xdr:col>
      <xdr:colOff>0</xdr:colOff>
      <xdr:row>78</xdr:row>
      <xdr:rowOff>0</xdr:rowOff>
    </xdr:to>
    <xdr:sp macro="" textlink="">
      <xdr:nvSpPr>
        <xdr:cNvPr id="125" name="Textfeld 225"/>
        <xdr:cNvSpPr txBox="1"/>
      </xdr:nvSpPr>
      <xdr:spPr>
        <a:xfrm>
          <a:off x="12537282" y="12061031"/>
          <a:ext cx="2262187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58</xdr:col>
      <xdr:colOff>1</xdr:colOff>
      <xdr:row>74</xdr:row>
      <xdr:rowOff>0</xdr:rowOff>
    </xdr:from>
    <xdr:to>
      <xdr:col>68</xdr:col>
      <xdr:colOff>0</xdr:colOff>
      <xdr:row>76</xdr:row>
      <xdr:rowOff>0</xdr:rowOff>
    </xdr:to>
    <xdr:sp macro="" textlink="">
      <xdr:nvSpPr>
        <xdr:cNvPr id="126" name="Textfeld 225"/>
        <xdr:cNvSpPr txBox="1"/>
      </xdr:nvSpPr>
      <xdr:spPr>
        <a:xfrm>
          <a:off x="12537282" y="11632406"/>
          <a:ext cx="2262187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58</xdr:col>
      <xdr:colOff>0</xdr:colOff>
      <xdr:row>60</xdr:row>
      <xdr:rowOff>142874</xdr:rowOff>
    </xdr:from>
    <xdr:to>
      <xdr:col>66</xdr:col>
      <xdr:colOff>0</xdr:colOff>
      <xdr:row>67</xdr:row>
      <xdr:rowOff>0</xdr:rowOff>
    </xdr:to>
    <xdr:sp macro="" textlink="">
      <xdr:nvSpPr>
        <xdr:cNvPr id="127" name="Textfeld 117"/>
        <xdr:cNvSpPr txBox="1"/>
      </xdr:nvSpPr>
      <xdr:spPr>
        <a:xfrm>
          <a:off x="12537281" y="9775030"/>
          <a:ext cx="1809750" cy="85725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 St Zug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(Personelle Aufteilung, Szenarien, Tagesabläufe)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Ukft</a:t>
          </a:r>
          <a:endParaRPr lang="de-CH" sz="900" b="0">
            <a:effectLst/>
          </a:endParaRPr>
        </a:p>
      </xdr:txBody>
    </xdr:sp>
    <xdr:clientData/>
  </xdr:twoCellAnchor>
  <xdr:twoCellAnchor>
    <xdr:from>
      <xdr:col>84</xdr:col>
      <xdr:colOff>0</xdr:colOff>
      <xdr:row>81</xdr:row>
      <xdr:rowOff>0</xdr:rowOff>
    </xdr:from>
    <xdr:to>
      <xdr:col>85</xdr:col>
      <xdr:colOff>0</xdr:colOff>
      <xdr:row>83</xdr:row>
      <xdr:rowOff>0</xdr:rowOff>
    </xdr:to>
    <xdr:sp macro="" textlink="">
      <xdr:nvSpPr>
        <xdr:cNvPr id="132" name="Textfeld 193"/>
        <xdr:cNvSpPr txBox="1"/>
      </xdr:nvSpPr>
      <xdr:spPr>
        <a:xfrm>
          <a:off x="18133219" y="12632531"/>
          <a:ext cx="21431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46</xdr:col>
      <xdr:colOff>0</xdr:colOff>
      <xdr:row>61</xdr:row>
      <xdr:rowOff>0</xdr:rowOff>
    </xdr:from>
    <xdr:to>
      <xdr:col>54</xdr:col>
      <xdr:colOff>0</xdr:colOff>
      <xdr:row>71</xdr:row>
      <xdr:rowOff>0</xdr:rowOff>
    </xdr:to>
    <xdr:sp macro="" textlink="">
      <xdr:nvSpPr>
        <xdr:cNvPr id="138" name="Textfeld 225"/>
        <xdr:cNvSpPr txBox="1"/>
      </xdr:nvSpPr>
      <xdr:spPr>
        <a:xfrm>
          <a:off x="9965531" y="9775031"/>
          <a:ext cx="1809750" cy="1428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Waffeninspektion 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30</xdr:col>
      <xdr:colOff>0</xdr:colOff>
      <xdr:row>68</xdr:row>
      <xdr:rowOff>142874</xdr:rowOff>
    </xdr:from>
    <xdr:to>
      <xdr:col>38</xdr:col>
      <xdr:colOff>5800</xdr:colOff>
      <xdr:row>73</xdr:row>
      <xdr:rowOff>142874</xdr:rowOff>
    </xdr:to>
    <xdr:sp macro="" textlink="">
      <xdr:nvSpPr>
        <xdr:cNvPr id="140" name="Textfeld 225"/>
        <xdr:cNvSpPr txBox="1"/>
      </xdr:nvSpPr>
      <xdr:spPr>
        <a:xfrm>
          <a:off x="6488906" y="10918030"/>
          <a:ext cx="1815550" cy="71437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WEB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214312</xdr:colOff>
      <xdr:row>44</xdr:row>
      <xdr:rowOff>0</xdr:rowOff>
    </xdr:from>
    <xdr:to>
      <xdr:col>81</xdr:col>
      <xdr:colOff>214312</xdr:colOff>
      <xdr:row>83</xdr:row>
      <xdr:rowOff>0</xdr:rowOff>
    </xdr:to>
    <xdr:sp macro="" textlink="">
      <xdr:nvSpPr>
        <xdr:cNvPr id="3" name="Textfeld 225"/>
        <xdr:cNvSpPr txBox="1"/>
      </xdr:nvSpPr>
      <xdr:spPr>
        <a:xfrm>
          <a:off x="17275968" y="7346156"/>
          <a:ext cx="428625" cy="5572125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Wochenendwache</a:t>
          </a:r>
        </a:p>
      </xdr:txBody>
    </xdr:sp>
    <xdr:clientData/>
  </xdr:twoCellAnchor>
  <xdr:twoCellAnchor editAs="oneCell">
    <xdr:from>
      <xdr:col>88</xdr:col>
      <xdr:colOff>66675</xdr:colOff>
      <xdr:row>80</xdr:row>
      <xdr:rowOff>57150</xdr:rowOff>
    </xdr:from>
    <xdr:to>
      <xdr:col>90</xdr:col>
      <xdr:colOff>390525</xdr:colOff>
      <xdr:row>82</xdr:row>
      <xdr:rowOff>132175</xdr:rowOff>
    </xdr:to>
    <xdr:pic>
      <xdr:nvPicPr>
        <xdr:cNvPr id="48" name="Grafik 4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8100" y="12544425"/>
          <a:ext cx="752475" cy="360775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49</xdr:row>
      <xdr:rowOff>0</xdr:rowOff>
    </xdr:from>
    <xdr:to>
      <xdr:col>15</xdr:col>
      <xdr:colOff>0</xdr:colOff>
      <xdr:row>51</xdr:row>
      <xdr:rowOff>0</xdr:rowOff>
    </xdr:to>
    <xdr:sp macro="" textlink="">
      <xdr:nvSpPr>
        <xdr:cNvPr id="62" name="Textfeld 193"/>
        <xdr:cNvSpPr txBox="1"/>
      </xdr:nvSpPr>
      <xdr:spPr>
        <a:xfrm>
          <a:off x="3155156" y="8060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4</xdr:col>
      <xdr:colOff>0</xdr:colOff>
      <xdr:row>83</xdr:row>
      <xdr:rowOff>0</xdr:rowOff>
    </xdr:to>
    <xdr:sp macro="" textlink="">
      <xdr:nvSpPr>
        <xdr:cNvPr id="45" name="Text 693"/>
        <xdr:cNvSpPr txBox="1">
          <a:spLocks noChangeArrowheads="1"/>
        </xdr:cNvSpPr>
      </xdr:nvSpPr>
      <xdr:spPr bwMode="auto">
        <a:xfrm flipV="1">
          <a:off x="440531" y="2059781"/>
          <a:ext cx="452438" cy="1085850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41</xdr:col>
      <xdr:colOff>0</xdr:colOff>
      <xdr:row>57</xdr:row>
      <xdr:rowOff>0</xdr:rowOff>
    </xdr:from>
    <xdr:to>
      <xdr:col>43</xdr:col>
      <xdr:colOff>-1</xdr:colOff>
      <xdr:row>69</xdr:row>
      <xdr:rowOff>0</xdr:rowOff>
    </xdr:to>
    <xdr:sp macro="" textlink="">
      <xdr:nvSpPr>
        <xdr:cNvPr id="81" name="Textfeld 193"/>
        <xdr:cNvSpPr txBox="1"/>
      </xdr:nvSpPr>
      <xdr:spPr>
        <a:xfrm>
          <a:off x="8977313" y="9203531"/>
          <a:ext cx="476249" cy="171450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Bat RP inkl Qual Rap II</a:t>
          </a:r>
        </a:p>
        <a:p>
          <a:pPr marL="0" indent="0" algn="ctr"/>
          <a:r>
            <a:rPr lang="en-US" sz="8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Stao Inf Kp 56/4</a:t>
          </a:r>
        </a:p>
      </xdr:txBody>
    </xdr:sp>
    <xdr:clientData/>
  </xdr:twoCellAnchor>
  <xdr:twoCellAnchor>
    <xdr:from>
      <xdr:col>14</xdr:col>
      <xdr:colOff>0</xdr:colOff>
      <xdr:row>31</xdr:row>
      <xdr:rowOff>0</xdr:rowOff>
    </xdr:from>
    <xdr:to>
      <xdr:col>15</xdr:col>
      <xdr:colOff>3501</xdr:colOff>
      <xdr:row>32</xdr:row>
      <xdr:rowOff>140073</xdr:rowOff>
    </xdr:to>
    <xdr:sp macro="" textlink="">
      <xdr:nvSpPr>
        <xdr:cNvPr id="83" name="Textfeld 193"/>
        <xdr:cNvSpPr txBox="1"/>
      </xdr:nvSpPr>
      <xdr:spPr>
        <a:xfrm>
          <a:off x="3155156" y="5488781"/>
          <a:ext cx="253533" cy="282948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DR</a:t>
          </a:r>
        </a:p>
      </xdr:txBody>
    </xdr:sp>
    <xdr:clientData/>
  </xdr:twoCellAnchor>
  <xdr:twoCellAnchor>
    <xdr:from>
      <xdr:col>72</xdr:col>
      <xdr:colOff>1</xdr:colOff>
      <xdr:row>77</xdr:row>
      <xdr:rowOff>0</xdr:rowOff>
    </xdr:from>
    <xdr:to>
      <xdr:col>78</xdr:col>
      <xdr:colOff>0</xdr:colOff>
      <xdr:row>78</xdr:row>
      <xdr:rowOff>137272</xdr:rowOff>
    </xdr:to>
    <xdr:sp macro="" textlink="">
      <xdr:nvSpPr>
        <xdr:cNvPr id="101" name="Textfeld 117"/>
        <xdr:cNvSpPr txBox="1"/>
      </xdr:nvSpPr>
      <xdr:spPr>
        <a:xfrm>
          <a:off x="15561470" y="12061031"/>
          <a:ext cx="1285874" cy="28014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Einrücken 2300</a:t>
          </a:r>
          <a:endParaRPr lang="de-CH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72</xdr:col>
      <xdr:colOff>0</xdr:colOff>
      <xdr:row>79</xdr:row>
      <xdr:rowOff>0</xdr:rowOff>
    </xdr:from>
    <xdr:to>
      <xdr:col>78</xdr:col>
      <xdr:colOff>0</xdr:colOff>
      <xdr:row>79</xdr:row>
      <xdr:rowOff>137272</xdr:rowOff>
    </xdr:to>
    <xdr:sp macro="" textlink="">
      <xdr:nvSpPr>
        <xdr:cNvPr id="102" name="Textfeld 225"/>
        <xdr:cNvSpPr txBox="1"/>
      </xdr:nvSpPr>
      <xdr:spPr>
        <a:xfrm>
          <a:off x="15561469" y="12346781"/>
          <a:ext cx="1285875" cy="137272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2330 - ABV</a:t>
          </a:r>
        </a:p>
      </xdr:txBody>
    </xdr:sp>
    <xdr:clientData/>
  </xdr:twoCellAnchor>
  <xdr:twoCellAnchor>
    <xdr:from>
      <xdr:col>10</xdr:col>
      <xdr:colOff>0</xdr:colOff>
      <xdr:row>7</xdr:row>
      <xdr:rowOff>0</xdr:rowOff>
    </xdr:from>
    <xdr:to>
      <xdr:col>12</xdr:col>
      <xdr:colOff>0</xdr:colOff>
      <xdr:row>23</xdr:row>
      <xdr:rowOff>0</xdr:rowOff>
    </xdr:to>
    <xdr:sp macro="" textlink="">
      <xdr:nvSpPr>
        <xdr:cNvPr id="128" name="Textfeld 117"/>
        <xdr:cNvSpPr txBox="1"/>
      </xdr:nvSpPr>
      <xdr:spPr>
        <a:xfrm>
          <a:off x="2250281" y="2059781"/>
          <a:ext cx="452438" cy="228600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6</xdr:col>
      <xdr:colOff>1</xdr:colOff>
      <xdr:row>41</xdr:row>
      <xdr:rowOff>0</xdr:rowOff>
    </xdr:to>
    <xdr:sp macro="" textlink="">
      <xdr:nvSpPr>
        <xdr:cNvPr id="136" name="Textfeld 117"/>
        <xdr:cNvSpPr txBox="1"/>
      </xdr:nvSpPr>
      <xdr:spPr>
        <a:xfrm>
          <a:off x="892969" y="2059781"/>
          <a:ext cx="452438" cy="4857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4</xdr:col>
      <xdr:colOff>0</xdr:colOff>
      <xdr:row>41</xdr:row>
      <xdr:rowOff>0</xdr:rowOff>
    </xdr:from>
    <xdr:to>
      <xdr:col>6</xdr:col>
      <xdr:colOff>2</xdr:colOff>
      <xdr:row>45</xdr:row>
      <xdr:rowOff>0</xdr:rowOff>
    </xdr:to>
    <xdr:sp macro="" textlink="">
      <xdr:nvSpPr>
        <xdr:cNvPr id="138" name="Textfeld 117"/>
        <xdr:cNvSpPr txBox="1"/>
      </xdr:nvSpPr>
      <xdr:spPr>
        <a:xfrm>
          <a:off x="892969" y="6917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4</xdr:col>
      <xdr:colOff>0</xdr:colOff>
      <xdr:row>45</xdr:row>
      <xdr:rowOff>0</xdr:rowOff>
    </xdr:from>
    <xdr:to>
      <xdr:col>6</xdr:col>
      <xdr:colOff>0</xdr:colOff>
      <xdr:row>83</xdr:row>
      <xdr:rowOff>0</xdr:rowOff>
    </xdr:to>
    <xdr:sp macro="" textlink="">
      <xdr:nvSpPr>
        <xdr:cNvPr id="143" name="Textfeld 117"/>
        <xdr:cNvSpPr txBox="1"/>
      </xdr:nvSpPr>
      <xdr:spPr>
        <a:xfrm>
          <a:off x="892969" y="7489031"/>
          <a:ext cx="452437" cy="54292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6</xdr:col>
      <xdr:colOff>1</xdr:colOff>
      <xdr:row>6</xdr:row>
      <xdr:rowOff>892967</xdr:rowOff>
    </xdr:from>
    <xdr:to>
      <xdr:col>8</xdr:col>
      <xdr:colOff>0</xdr:colOff>
      <xdr:row>17</xdr:row>
      <xdr:rowOff>0</xdr:rowOff>
    </xdr:to>
    <xdr:sp macro="" textlink="">
      <xdr:nvSpPr>
        <xdr:cNvPr id="161" name="Textfeld 117"/>
        <xdr:cNvSpPr txBox="1"/>
      </xdr:nvSpPr>
      <xdr:spPr>
        <a:xfrm>
          <a:off x="1345407" y="2059780"/>
          <a:ext cx="452437" cy="142875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8</xdr:col>
      <xdr:colOff>0</xdr:colOff>
      <xdr:row>73</xdr:row>
      <xdr:rowOff>1</xdr:rowOff>
    </xdr:from>
    <xdr:to>
      <xdr:col>10</xdr:col>
      <xdr:colOff>1</xdr:colOff>
      <xdr:row>83</xdr:row>
      <xdr:rowOff>1</xdr:rowOff>
    </xdr:to>
    <xdr:sp macro="" textlink="">
      <xdr:nvSpPr>
        <xdr:cNvPr id="164" name="Textfeld 117"/>
        <xdr:cNvSpPr txBox="1"/>
      </xdr:nvSpPr>
      <xdr:spPr>
        <a:xfrm>
          <a:off x="1797844" y="11489532"/>
          <a:ext cx="452438" cy="1428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10</xdr:col>
      <xdr:colOff>0</xdr:colOff>
      <xdr:row>77</xdr:row>
      <xdr:rowOff>0</xdr:rowOff>
    </xdr:from>
    <xdr:to>
      <xdr:col>12</xdr:col>
      <xdr:colOff>1</xdr:colOff>
      <xdr:row>81</xdr:row>
      <xdr:rowOff>0</xdr:rowOff>
    </xdr:to>
    <xdr:sp macro="" textlink="">
      <xdr:nvSpPr>
        <xdr:cNvPr id="165" name="Textfeld 117"/>
        <xdr:cNvSpPr txBox="1"/>
      </xdr:nvSpPr>
      <xdr:spPr>
        <a:xfrm>
          <a:off x="2250281" y="12061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10</xdr:col>
      <xdr:colOff>1</xdr:colOff>
      <xdr:row>81</xdr:row>
      <xdr:rowOff>0</xdr:rowOff>
    </xdr:from>
    <xdr:to>
      <xdr:col>12</xdr:col>
      <xdr:colOff>0</xdr:colOff>
      <xdr:row>83</xdr:row>
      <xdr:rowOff>0</xdr:rowOff>
    </xdr:to>
    <xdr:sp macro="" textlink="">
      <xdr:nvSpPr>
        <xdr:cNvPr id="173" name="Textfeld 117"/>
        <xdr:cNvSpPr txBox="1"/>
      </xdr:nvSpPr>
      <xdr:spPr>
        <a:xfrm>
          <a:off x="2250282" y="12632531"/>
          <a:ext cx="452437" cy="285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0</xdr:colOff>
      <xdr:row>17</xdr:row>
      <xdr:rowOff>0</xdr:rowOff>
    </xdr:from>
    <xdr:to>
      <xdr:col>10</xdr:col>
      <xdr:colOff>0</xdr:colOff>
      <xdr:row>69</xdr:row>
      <xdr:rowOff>0</xdr:rowOff>
    </xdr:to>
    <xdr:sp macro="" textlink="">
      <xdr:nvSpPr>
        <xdr:cNvPr id="174" name="Textfeld 117"/>
        <xdr:cNvSpPr txBox="1"/>
      </xdr:nvSpPr>
      <xdr:spPr>
        <a:xfrm>
          <a:off x="1797844" y="3488531"/>
          <a:ext cx="452437" cy="7429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8</xdr:col>
      <xdr:colOff>0</xdr:colOff>
      <xdr:row>7</xdr:row>
      <xdr:rowOff>0</xdr:rowOff>
    </xdr:from>
    <xdr:to>
      <xdr:col>10</xdr:col>
      <xdr:colOff>1</xdr:colOff>
      <xdr:row>13</xdr:row>
      <xdr:rowOff>0</xdr:rowOff>
    </xdr:to>
    <xdr:sp macro="" textlink="">
      <xdr:nvSpPr>
        <xdr:cNvPr id="175" name="Textfeld 117"/>
        <xdr:cNvSpPr txBox="1"/>
      </xdr:nvSpPr>
      <xdr:spPr>
        <a:xfrm>
          <a:off x="1797844" y="2059781"/>
          <a:ext cx="452438" cy="857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8</xdr:col>
      <xdr:colOff>0</xdr:colOff>
      <xdr:row>13</xdr:row>
      <xdr:rowOff>0</xdr:rowOff>
    </xdr:from>
    <xdr:to>
      <xdr:col>10</xdr:col>
      <xdr:colOff>2</xdr:colOff>
      <xdr:row>17</xdr:row>
      <xdr:rowOff>0</xdr:rowOff>
    </xdr:to>
    <xdr:sp macro="" textlink="">
      <xdr:nvSpPr>
        <xdr:cNvPr id="176" name="Textfeld 117"/>
        <xdr:cNvSpPr txBox="1"/>
      </xdr:nvSpPr>
      <xdr:spPr>
        <a:xfrm>
          <a:off x="1797844" y="2917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10</xdr:col>
      <xdr:colOff>0</xdr:colOff>
      <xdr:row>37</xdr:row>
      <xdr:rowOff>0</xdr:rowOff>
    </xdr:from>
    <xdr:to>
      <xdr:col>12</xdr:col>
      <xdr:colOff>0</xdr:colOff>
      <xdr:row>77</xdr:row>
      <xdr:rowOff>0</xdr:rowOff>
    </xdr:to>
    <xdr:sp macro="" textlink="">
      <xdr:nvSpPr>
        <xdr:cNvPr id="177" name="Textfeld 117"/>
        <xdr:cNvSpPr txBox="1"/>
      </xdr:nvSpPr>
      <xdr:spPr>
        <a:xfrm>
          <a:off x="2250281" y="6346031"/>
          <a:ext cx="452438" cy="5715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12</xdr:col>
      <xdr:colOff>1</xdr:colOff>
      <xdr:row>37</xdr:row>
      <xdr:rowOff>0</xdr:rowOff>
    </xdr:to>
    <xdr:sp macro="" textlink="">
      <xdr:nvSpPr>
        <xdr:cNvPr id="179" name="Textfeld 117"/>
        <xdr:cNvSpPr txBox="1"/>
      </xdr:nvSpPr>
      <xdr:spPr>
        <a:xfrm>
          <a:off x="2250281" y="5774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10</xdr:col>
      <xdr:colOff>0</xdr:colOff>
      <xdr:row>23</xdr:row>
      <xdr:rowOff>0</xdr:rowOff>
    </xdr:from>
    <xdr:to>
      <xdr:col>11</xdr:col>
      <xdr:colOff>226218</xdr:colOff>
      <xdr:row>33</xdr:row>
      <xdr:rowOff>0</xdr:rowOff>
    </xdr:to>
    <xdr:sp macro="" textlink="">
      <xdr:nvSpPr>
        <xdr:cNvPr id="180" name="Textfeld 117"/>
        <xdr:cNvSpPr txBox="1"/>
      </xdr:nvSpPr>
      <xdr:spPr>
        <a:xfrm>
          <a:off x="2250281" y="4345781"/>
          <a:ext cx="452437" cy="1428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</a:t>
          </a:r>
          <a:endParaRPr lang="de-CH" sz="900">
            <a:effectLst/>
          </a:endParaRP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8</xdr:col>
      <xdr:colOff>0</xdr:colOff>
      <xdr:row>83</xdr:row>
      <xdr:rowOff>0</xdr:rowOff>
    </xdr:to>
    <xdr:sp macro="" textlink="">
      <xdr:nvSpPr>
        <xdr:cNvPr id="181" name="Textfeld 117"/>
        <xdr:cNvSpPr txBox="1"/>
      </xdr:nvSpPr>
      <xdr:spPr>
        <a:xfrm>
          <a:off x="1345406" y="3488531"/>
          <a:ext cx="452438" cy="942975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20</xdr:col>
      <xdr:colOff>0</xdr:colOff>
      <xdr:row>7</xdr:row>
      <xdr:rowOff>0</xdr:rowOff>
    </xdr:from>
    <xdr:to>
      <xdr:col>22</xdr:col>
      <xdr:colOff>1</xdr:colOff>
      <xdr:row>83</xdr:row>
      <xdr:rowOff>0</xdr:rowOff>
    </xdr:to>
    <xdr:sp macro="" textlink="">
      <xdr:nvSpPr>
        <xdr:cNvPr id="182" name="Textfeld 117"/>
        <xdr:cNvSpPr txBox="1"/>
      </xdr:nvSpPr>
      <xdr:spPr>
        <a:xfrm>
          <a:off x="4369594" y="2059781"/>
          <a:ext cx="452438" cy="1085850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34</xdr:col>
      <xdr:colOff>0</xdr:colOff>
      <xdr:row>7</xdr:row>
      <xdr:rowOff>0</xdr:rowOff>
    </xdr:from>
    <xdr:to>
      <xdr:col>36</xdr:col>
      <xdr:colOff>0</xdr:colOff>
      <xdr:row>60</xdr:row>
      <xdr:rowOff>0</xdr:rowOff>
    </xdr:to>
    <xdr:sp macro="" textlink="">
      <xdr:nvSpPr>
        <xdr:cNvPr id="183" name="Textfeld 117"/>
        <xdr:cNvSpPr txBox="1"/>
      </xdr:nvSpPr>
      <xdr:spPr>
        <a:xfrm>
          <a:off x="7393781" y="2059781"/>
          <a:ext cx="452438" cy="7572375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18</xdr:col>
      <xdr:colOff>0</xdr:colOff>
      <xdr:row>7</xdr:row>
      <xdr:rowOff>0</xdr:rowOff>
    </xdr:from>
    <xdr:to>
      <xdr:col>20</xdr:col>
      <xdr:colOff>0</xdr:colOff>
      <xdr:row>41</xdr:row>
      <xdr:rowOff>0</xdr:rowOff>
    </xdr:to>
    <xdr:sp macro="" textlink="">
      <xdr:nvSpPr>
        <xdr:cNvPr id="184" name="Textfeld 117"/>
        <xdr:cNvSpPr txBox="1"/>
      </xdr:nvSpPr>
      <xdr:spPr>
        <a:xfrm>
          <a:off x="3917156" y="2059781"/>
          <a:ext cx="452438" cy="4857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18</xdr:col>
      <xdr:colOff>0</xdr:colOff>
      <xdr:row>41</xdr:row>
      <xdr:rowOff>0</xdr:rowOff>
    </xdr:from>
    <xdr:to>
      <xdr:col>20</xdr:col>
      <xdr:colOff>1</xdr:colOff>
      <xdr:row>45</xdr:row>
      <xdr:rowOff>0</xdr:rowOff>
    </xdr:to>
    <xdr:sp macro="" textlink="">
      <xdr:nvSpPr>
        <xdr:cNvPr id="185" name="Textfeld 117"/>
        <xdr:cNvSpPr txBox="1"/>
      </xdr:nvSpPr>
      <xdr:spPr>
        <a:xfrm>
          <a:off x="3917156" y="6917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19</xdr:col>
      <xdr:colOff>226218</xdr:colOff>
      <xdr:row>83</xdr:row>
      <xdr:rowOff>0</xdr:rowOff>
    </xdr:to>
    <xdr:sp macro="" textlink="">
      <xdr:nvSpPr>
        <xdr:cNvPr id="186" name="Textfeld 117"/>
        <xdr:cNvSpPr txBox="1"/>
      </xdr:nvSpPr>
      <xdr:spPr>
        <a:xfrm>
          <a:off x="3917156" y="7489031"/>
          <a:ext cx="452437" cy="54292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22</xdr:col>
      <xdr:colOff>0</xdr:colOff>
      <xdr:row>73</xdr:row>
      <xdr:rowOff>1</xdr:rowOff>
    </xdr:from>
    <xdr:to>
      <xdr:col>24</xdr:col>
      <xdr:colOff>0</xdr:colOff>
      <xdr:row>83</xdr:row>
      <xdr:rowOff>1</xdr:rowOff>
    </xdr:to>
    <xdr:sp macro="" textlink="">
      <xdr:nvSpPr>
        <xdr:cNvPr id="187" name="Textfeld 117"/>
        <xdr:cNvSpPr txBox="1"/>
      </xdr:nvSpPr>
      <xdr:spPr>
        <a:xfrm>
          <a:off x="4822031" y="11489532"/>
          <a:ext cx="452438" cy="1428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22</xdr:col>
      <xdr:colOff>0</xdr:colOff>
      <xdr:row>17</xdr:row>
      <xdr:rowOff>0</xdr:rowOff>
    </xdr:from>
    <xdr:to>
      <xdr:col>23</xdr:col>
      <xdr:colOff>226218</xdr:colOff>
      <xdr:row>69</xdr:row>
      <xdr:rowOff>0</xdr:rowOff>
    </xdr:to>
    <xdr:sp macro="" textlink="">
      <xdr:nvSpPr>
        <xdr:cNvPr id="188" name="Textfeld 117"/>
        <xdr:cNvSpPr txBox="1"/>
      </xdr:nvSpPr>
      <xdr:spPr>
        <a:xfrm>
          <a:off x="4822031" y="3488531"/>
          <a:ext cx="452437" cy="7429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22</xdr:col>
      <xdr:colOff>0</xdr:colOff>
      <xdr:row>7</xdr:row>
      <xdr:rowOff>0</xdr:rowOff>
    </xdr:from>
    <xdr:to>
      <xdr:col>24</xdr:col>
      <xdr:colOff>0</xdr:colOff>
      <xdr:row>13</xdr:row>
      <xdr:rowOff>0</xdr:rowOff>
    </xdr:to>
    <xdr:sp macro="" textlink="">
      <xdr:nvSpPr>
        <xdr:cNvPr id="189" name="Textfeld 117"/>
        <xdr:cNvSpPr txBox="1"/>
      </xdr:nvSpPr>
      <xdr:spPr>
        <a:xfrm>
          <a:off x="4822031" y="2059781"/>
          <a:ext cx="452438" cy="857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22</xdr:col>
      <xdr:colOff>0</xdr:colOff>
      <xdr:row>13</xdr:row>
      <xdr:rowOff>0</xdr:rowOff>
    </xdr:from>
    <xdr:to>
      <xdr:col>24</xdr:col>
      <xdr:colOff>1</xdr:colOff>
      <xdr:row>17</xdr:row>
      <xdr:rowOff>0</xdr:rowOff>
    </xdr:to>
    <xdr:sp macro="" textlink="">
      <xdr:nvSpPr>
        <xdr:cNvPr id="190" name="Textfeld 117"/>
        <xdr:cNvSpPr txBox="1"/>
      </xdr:nvSpPr>
      <xdr:spPr>
        <a:xfrm>
          <a:off x="4822031" y="2917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32</xdr:col>
      <xdr:colOff>0</xdr:colOff>
      <xdr:row>7</xdr:row>
      <xdr:rowOff>0</xdr:rowOff>
    </xdr:from>
    <xdr:to>
      <xdr:col>34</xdr:col>
      <xdr:colOff>1</xdr:colOff>
      <xdr:row>41</xdr:row>
      <xdr:rowOff>0</xdr:rowOff>
    </xdr:to>
    <xdr:sp macro="" textlink="">
      <xdr:nvSpPr>
        <xdr:cNvPr id="191" name="Textfeld 117"/>
        <xdr:cNvSpPr txBox="1"/>
      </xdr:nvSpPr>
      <xdr:spPr>
        <a:xfrm>
          <a:off x="6941344" y="2059781"/>
          <a:ext cx="452438" cy="4857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32</xdr:col>
      <xdr:colOff>0</xdr:colOff>
      <xdr:row>41</xdr:row>
      <xdr:rowOff>0</xdr:rowOff>
    </xdr:from>
    <xdr:to>
      <xdr:col>34</xdr:col>
      <xdr:colOff>2</xdr:colOff>
      <xdr:row>45</xdr:row>
      <xdr:rowOff>0</xdr:rowOff>
    </xdr:to>
    <xdr:sp macro="" textlink="">
      <xdr:nvSpPr>
        <xdr:cNvPr id="192" name="Textfeld 117"/>
        <xdr:cNvSpPr txBox="1"/>
      </xdr:nvSpPr>
      <xdr:spPr>
        <a:xfrm>
          <a:off x="6941344" y="6917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32</xdr:col>
      <xdr:colOff>0</xdr:colOff>
      <xdr:row>45</xdr:row>
      <xdr:rowOff>0</xdr:rowOff>
    </xdr:from>
    <xdr:to>
      <xdr:col>34</xdr:col>
      <xdr:colOff>0</xdr:colOff>
      <xdr:row>83</xdr:row>
      <xdr:rowOff>0</xdr:rowOff>
    </xdr:to>
    <xdr:sp macro="" textlink="">
      <xdr:nvSpPr>
        <xdr:cNvPr id="193" name="Textfeld 117"/>
        <xdr:cNvSpPr txBox="1"/>
      </xdr:nvSpPr>
      <xdr:spPr>
        <a:xfrm>
          <a:off x="6941344" y="7489031"/>
          <a:ext cx="452437" cy="54292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36</xdr:col>
      <xdr:colOff>0</xdr:colOff>
      <xdr:row>73</xdr:row>
      <xdr:rowOff>1</xdr:rowOff>
    </xdr:from>
    <xdr:to>
      <xdr:col>38</xdr:col>
      <xdr:colOff>1</xdr:colOff>
      <xdr:row>83</xdr:row>
      <xdr:rowOff>1</xdr:rowOff>
    </xdr:to>
    <xdr:sp macro="" textlink="">
      <xdr:nvSpPr>
        <xdr:cNvPr id="194" name="Textfeld 117"/>
        <xdr:cNvSpPr txBox="1"/>
      </xdr:nvSpPr>
      <xdr:spPr>
        <a:xfrm>
          <a:off x="7846219" y="11489532"/>
          <a:ext cx="452438" cy="1428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36</xdr:col>
      <xdr:colOff>0</xdr:colOff>
      <xdr:row>17</xdr:row>
      <xdr:rowOff>0</xdr:rowOff>
    </xdr:from>
    <xdr:to>
      <xdr:col>38</xdr:col>
      <xdr:colOff>0</xdr:colOff>
      <xdr:row>69</xdr:row>
      <xdr:rowOff>0</xdr:rowOff>
    </xdr:to>
    <xdr:sp macro="" textlink="">
      <xdr:nvSpPr>
        <xdr:cNvPr id="195" name="Textfeld 117"/>
        <xdr:cNvSpPr txBox="1"/>
      </xdr:nvSpPr>
      <xdr:spPr>
        <a:xfrm>
          <a:off x="7846219" y="3488531"/>
          <a:ext cx="452437" cy="7429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36</xdr:col>
      <xdr:colOff>0</xdr:colOff>
      <xdr:row>7</xdr:row>
      <xdr:rowOff>0</xdr:rowOff>
    </xdr:from>
    <xdr:to>
      <xdr:col>38</xdr:col>
      <xdr:colOff>1</xdr:colOff>
      <xdr:row>13</xdr:row>
      <xdr:rowOff>0</xdr:rowOff>
    </xdr:to>
    <xdr:sp macro="" textlink="">
      <xdr:nvSpPr>
        <xdr:cNvPr id="196" name="Textfeld 117"/>
        <xdr:cNvSpPr txBox="1"/>
      </xdr:nvSpPr>
      <xdr:spPr>
        <a:xfrm>
          <a:off x="7846219" y="2059781"/>
          <a:ext cx="452438" cy="857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36</xdr:col>
      <xdr:colOff>0</xdr:colOff>
      <xdr:row>13</xdr:row>
      <xdr:rowOff>0</xdr:rowOff>
    </xdr:from>
    <xdr:to>
      <xdr:col>38</xdr:col>
      <xdr:colOff>2</xdr:colOff>
      <xdr:row>17</xdr:row>
      <xdr:rowOff>0</xdr:rowOff>
    </xdr:to>
    <xdr:sp macro="" textlink="">
      <xdr:nvSpPr>
        <xdr:cNvPr id="197" name="Textfeld 117"/>
        <xdr:cNvSpPr txBox="1"/>
      </xdr:nvSpPr>
      <xdr:spPr>
        <a:xfrm>
          <a:off x="7846219" y="2917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24</xdr:col>
      <xdr:colOff>0</xdr:colOff>
      <xdr:row>77</xdr:row>
      <xdr:rowOff>0</xdr:rowOff>
    </xdr:from>
    <xdr:to>
      <xdr:col>26</xdr:col>
      <xdr:colOff>2</xdr:colOff>
      <xdr:row>81</xdr:row>
      <xdr:rowOff>0</xdr:rowOff>
    </xdr:to>
    <xdr:sp macro="" textlink="">
      <xdr:nvSpPr>
        <xdr:cNvPr id="198" name="Textfeld 117"/>
        <xdr:cNvSpPr txBox="1"/>
      </xdr:nvSpPr>
      <xdr:spPr>
        <a:xfrm>
          <a:off x="5274469" y="12061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24</xdr:col>
      <xdr:colOff>1</xdr:colOff>
      <xdr:row>81</xdr:row>
      <xdr:rowOff>0</xdr:rowOff>
    </xdr:from>
    <xdr:to>
      <xdr:col>26</xdr:col>
      <xdr:colOff>1</xdr:colOff>
      <xdr:row>83</xdr:row>
      <xdr:rowOff>0</xdr:rowOff>
    </xdr:to>
    <xdr:sp macro="" textlink="">
      <xdr:nvSpPr>
        <xdr:cNvPr id="199" name="Textfeld 117"/>
        <xdr:cNvSpPr txBox="1"/>
      </xdr:nvSpPr>
      <xdr:spPr>
        <a:xfrm>
          <a:off x="5274470" y="12632531"/>
          <a:ext cx="452437" cy="285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24</xdr:col>
      <xdr:colOff>0</xdr:colOff>
      <xdr:row>37</xdr:row>
      <xdr:rowOff>0</xdr:rowOff>
    </xdr:from>
    <xdr:to>
      <xdr:col>26</xdr:col>
      <xdr:colOff>1</xdr:colOff>
      <xdr:row>77</xdr:row>
      <xdr:rowOff>0</xdr:rowOff>
    </xdr:to>
    <xdr:sp macro="" textlink="">
      <xdr:nvSpPr>
        <xdr:cNvPr id="200" name="Textfeld 117"/>
        <xdr:cNvSpPr txBox="1"/>
      </xdr:nvSpPr>
      <xdr:spPr>
        <a:xfrm>
          <a:off x="5274469" y="6346031"/>
          <a:ext cx="452438" cy="5715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24</xdr:col>
      <xdr:colOff>0</xdr:colOff>
      <xdr:row>33</xdr:row>
      <xdr:rowOff>0</xdr:rowOff>
    </xdr:from>
    <xdr:to>
      <xdr:col>26</xdr:col>
      <xdr:colOff>2</xdr:colOff>
      <xdr:row>37</xdr:row>
      <xdr:rowOff>0</xdr:rowOff>
    </xdr:to>
    <xdr:sp macro="" textlink="">
      <xdr:nvSpPr>
        <xdr:cNvPr id="201" name="Textfeld 117"/>
        <xdr:cNvSpPr txBox="1"/>
      </xdr:nvSpPr>
      <xdr:spPr>
        <a:xfrm>
          <a:off x="5274469" y="5774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24</xdr:col>
      <xdr:colOff>0</xdr:colOff>
      <xdr:row>7</xdr:row>
      <xdr:rowOff>0</xdr:rowOff>
    </xdr:from>
    <xdr:to>
      <xdr:col>26</xdr:col>
      <xdr:colOff>0</xdr:colOff>
      <xdr:row>33</xdr:row>
      <xdr:rowOff>0</xdr:rowOff>
    </xdr:to>
    <xdr:sp macro="" textlink="">
      <xdr:nvSpPr>
        <xdr:cNvPr id="202" name="Textfeld 117"/>
        <xdr:cNvSpPr txBox="1"/>
      </xdr:nvSpPr>
      <xdr:spPr>
        <a:xfrm>
          <a:off x="5274469" y="2059781"/>
          <a:ext cx="452437" cy="3714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38</xdr:col>
      <xdr:colOff>0</xdr:colOff>
      <xdr:row>77</xdr:row>
      <xdr:rowOff>0</xdr:rowOff>
    </xdr:from>
    <xdr:to>
      <xdr:col>40</xdr:col>
      <xdr:colOff>1</xdr:colOff>
      <xdr:row>81</xdr:row>
      <xdr:rowOff>0</xdr:rowOff>
    </xdr:to>
    <xdr:sp macro="" textlink="">
      <xdr:nvSpPr>
        <xdr:cNvPr id="203" name="Textfeld 117"/>
        <xdr:cNvSpPr txBox="1"/>
      </xdr:nvSpPr>
      <xdr:spPr>
        <a:xfrm>
          <a:off x="8298656" y="12061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38</xdr:col>
      <xdr:colOff>1</xdr:colOff>
      <xdr:row>81</xdr:row>
      <xdr:rowOff>0</xdr:rowOff>
    </xdr:from>
    <xdr:to>
      <xdr:col>40</xdr:col>
      <xdr:colOff>0</xdr:colOff>
      <xdr:row>83</xdr:row>
      <xdr:rowOff>0</xdr:rowOff>
    </xdr:to>
    <xdr:sp macro="" textlink="">
      <xdr:nvSpPr>
        <xdr:cNvPr id="204" name="Textfeld 117"/>
        <xdr:cNvSpPr txBox="1"/>
      </xdr:nvSpPr>
      <xdr:spPr>
        <a:xfrm>
          <a:off x="8298657" y="12632531"/>
          <a:ext cx="452437" cy="285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38</xdr:col>
      <xdr:colOff>0</xdr:colOff>
      <xdr:row>37</xdr:row>
      <xdr:rowOff>0</xdr:rowOff>
    </xdr:from>
    <xdr:to>
      <xdr:col>40</xdr:col>
      <xdr:colOff>0</xdr:colOff>
      <xdr:row>77</xdr:row>
      <xdr:rowOff>0</xdr:rowOff>
    </xdr:to>
    <xdr:sp macro="" textlink="">
      <xdr:nvSpPr>
        <xdr:cNvPr id="205" name="Textfeld 117"/>
        <xdr:cNvSpPr txBox="1"/>
      </xdr:nvSpPr>
      <xdr:spPr>
        <a:xfrm>
          <a:off x="8298656" y="6346031"/>
          <a:ext cx="452438" cy="5715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38</xdr:col>
      <xdr:colOff>0</xdr:colOff>
      <xdr:row>33</xdr:row>
      <xdr:rowOff>0</xdr:rowOff>
    </xdr:from>
    <xdr:to>
      <xdr:col>40</xdr:col>
      <xdr:colOff>1</xdr:colOff>
      <xdr:row>37</xdr:row>
      <xdr:rowOff>0</xdr:rowOff>
    </xdr:to>
    <xdr:sp macro="" textlink="">
      <xdr:nvSpPr>
        <xdr:cNvPr id="206" name="Textfeld 117"/>
        <xdr:cNvSpPr txBox="1"/>
      </xdr:nvSpPr>
      <xdr:spPr>
        <a:xfrm>
          <a:off x="8298656" y="5774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38</xdr:col>
      <xdr:colOff>0</xdr:colOff>
      <xdr:row>7</xdr:row>
      <xdr:rowOff>0</xdr:rowOff>
    </xdr:from>
    <xdr:to>
      <xdr:col>39</xdr:col>
      <xdr:colOff>226218</xdr:colOff>
      <xdr:row>33</xdr:row>
      <xdr:rowOff>0</xdr:rowOff>
    </xdr:to>
    <xdr:sp macro="" textlink="">
      <xdr:nvSpPr>
        <xdr:cNvPr id="207" name="Textfeld 117"/>
        <xdr:cNvSpPr txBox="1"/>
      </xdr:nvSpPr>
      <xdr:spPr>
        <a:xfrm>
          <a:off x="8298656" y="2059781"/>
          <a:ext cx="452437" cy="3714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34</xdr:col>
      <xdr:colOff>1</xdr:colOff>
      <xdr:row>60</xdr:row>
      <xdr:rowOff>0</xdr:rowOff>
    </xdr:from>
    <xdr:to>
      <xdr:col>36</xdr:col>
      <xdr:colOff>0</xdr:colOff>
      <xdr:row>70</xdr:row>
      <xdr:rowOff>0</xdr:rowOff>
    </xdr:to>
    <xdr:sp macro="" textlink="">
      <xdr:nvSpPr>
        <xdr:cNvPr id="208" name="Textfeld 117"/>
        <xdr:cNvSpPr txBox="1"/>
      </xdr:nvSpPr>
      <xdr:spPr>
        <a:xfrm>
          <a:off x="7393782" y="9632156"/>
          <a:ext cx="452437" cy="1428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EV</a:t>
          </a:r>
          <a:endParaRPr lang="de-CH" sz="900">
            <a:effectLst/>
          </a:endParaRPr>
        </a:p>
      </xdr:txBody>
    </xdr:sp>
    <xdr:clientData/>
  </xdr:twoCellAnchor>
  <xdr:twoCellAnchor>
    <xdr:from>
      <xdr:col>34</xdr:col>
      <xdr:colOff>0</xdr:colOff>
      <xdr:row>70</xdr:row>
      <xdr:rowOff>0</xdr:rowOff>
    </xdr:from>
    <xdr:to>
      <xdr:col>35</xdr:col>
      <xdr:colOff>226218</xdr:colOff>
      <xdr:row>83</xdr:row>
      <xdr:rowOff>0</xdr:rowOff>
    </xdr:to>
    <xdr:sp macro="" textlink="">
      <xdr:nvSpPr>
        <xdr:cNvPr id="209" name="Textfeld 117"/>
        <xdr:cNvSpPr txBox="1"/>
      </xdr:nvSpPr>
      <xdr:spPr>
        <a:xfrm>
          <a:off x="7393781" y="11060906"/>
          <a:ext cx="452437" cy="185737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48</xdr:col>
      <xdr:colOff>0</xdr:colOff>
      <xdr:row>7</xdr:row>
      <xdr:rowOff>0</xdr:rowOff>
    </xdr:from>
    <xdr:to>
      <xdr:col>50</xdr:col>
      <xdr:colOff>1</xdr:colOff>
      <xdr:row>41</xdr:row>
      <xdr:rowOff>0</xdr:rowOff>
    </xdr:to>
    <xdr:sp macro="" textlink="">
      <xdr:nvSpPr>
        <xdr:cNvPr id="210" name="Textfeld 117"/>
        <xdr:cNvSpPr txBox="1"/>
      </xdr:nvSpPr>
      <xdr:spPr>
        <a:xfrm>
          <a:off x="10417969" y="2059781"/>
          <a:ext cx="452438" cy="4857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48</xdr:col>
      <xdr:colOff>0</xdr:colOff>
      <xdr:row>41</xdr:row>
      <xdr:rowOff>0</xdr:rowOff>
    </xdr:from>
    <xdr:to>
      <xdr:col>50</xdr:col>
      <xdr:colOff>2</xdr:colOff>
      <xdr:row>45</xdr:row>
      <xdr:rowOff>0</xdr:rowOff>
    </xdr:to>
    <xdr:sp macro="" textlink="">
      <xdr:nvSpPr>
        <xdr:cNvPr id="211" name="Textfeld 117"/>
        <xdr:cNvSpPr txBox="1"/>
      </xdr:nvSpPr>
      <xdr:spPr>
        <a:xfrm>
          <a:off x="10417969" y="6917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48</xdr:col>
      <xdr:colOff>0</xdr:colOff>
      <xdr:row>45</xdr:row>
      <xdr:rowOff>0</xdr:rowOff>
    </xdr:from>
    <xdr:to>
      <xdr:col>50</xdr:col>
      <xdr:colOff>0</xdr:colOff>
      <xdr:row>83</xdr:row>
      <xdr:rowOff>0</xdr:rowOff>
    </xdr:to>
    <xdr:sp macro="" textlink="">
      <xdr:nvSpPr>
        <xdr:cNvPr id="212" name="Textfeld 117"/>
        <xdr:cNvSpPr txBox="1"/>
      </xdr:nvSpPr>
      <xdr:spPr>
        <a:xfrm>
          <a:off x="10417969" y="7489031"/>
          <a:ext cx="452437" cy="54292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46</xdr:col>
      <xdr:colOff>0</xdr:colOff>
      <xdr:row>17</xdr:row>
      <xdr:rowOff>0</xdr:rowOff>
    </xdr:from>
    <xdr:to>
      <xdr:col>48</xdr:col>
      <xdr:colOff>0</xdr:colOff>
      <xdr:row>83</xdr:row>
      <xdr:rowOff>0</xdr:rowOff>
    </xdr:to>
    <xdr:sp macro="" textlink="">
      <xdr:nvSpPr>
        <xdr:cNvPr id="216" name="Textfeld 117"/>
        <xdr:cNvSpPr txBox="1"/>
      </xdr:nvSpPr>
      <xdr:spPr>
        <a:xfrm>
          <a:off x="9965531" y="3488531"/>
          <a:ext cx="452438" cy="942975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46</xdr:col>
      <xdr:colOff>0</xdr:colOff>
      <xdr:row>7</xdr:row>
      <xdr:rowOff>0</xdr:rowOff>
    </xdr:from>
    <xdr:to>
      <xdr:col>47</xdr:col>
      <xdr:colOff>226218</xdr:colOff>
      <xdr:row>17</xdr:row>
      <xdr:rowOff>1</xdr:rowOff>
    </xdr:to>
    <xdr:sp macro="" textlink="">
      <xdr:nvSpPr>
        <xdr:cNvPr id="218" name="Textfeld 117"/>
        <xdr:cNvSpPr txBox="1"/>
      </xdr:nvSpPr>
      <xdr:spPr>
        <a:xfrm>
          <a:off x="9965531" y="2059781"/>
          <a:ext cx="452437" cy="1428751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50</xdr:col>
      <xdr:colOff>0</xdr:colOff>
      <xdr:row>73</xdr:row>
      <xdr:rowOff>1</xdr:rowOff>
    </xdr:from>
    <xdr:to>
      <xdr:col>52</xdr:col>
      <xdr:colOff>0</xdr:colOff>
      <xdr:row>83</xdr:row>
      <xdr:rowOff>1</xdr:rowOff>
    </xdr:to>
    <xdr:sp macro="" textlink="">
      <xdr:nvSpPr>
        <xdr:cNvPr id="219" name="Textfeld 117"/>
        <xdr:cNvSpPr txBox="1"/>
      </xdr:nvSpPr>
      <xdr:spPr>
        <a:xfrm>
          <a:off x="10870406" y="11489532"/>
          <a:ext cx="452438" cy="1428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50</xdr:col>
      <xdr:colOff>0</xdr:colOff>
      <xdr:row>17</xdr:row>
      <xdr:rowOff>0</xdr:rowOff>
    </xdr:from>
    <xdr:to>
      <xdr:col>51</xdr:col>
      <xdr:colOff>226218</xdr:colOff>
      <xdr:row>69</xdr:row>
      <xdr:rowOff>0</xdr:rowOff>
    </xdr:to>
    <xdr:sp macro="" textlink="">
      <xdr:nvSpPr>
        <xdr:cNvPr id="220" name="Textfeld 117"/>
        <xdr:cNvSpPr txBox="1"/>
      </xdr:nvSpPr>
      <xdr:spPr>
        <a:xfrm>
          <a:off x="10870406" y="3488531"/>
          <a:ext cx="452437" cy="7429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50</xdr:col>
      <xdr:colOff>0</xdr:colOff>
      <xdr:row>7</xdr:row>
      <xdr:rowOff>0</xdr:rowOff>
    </xdr:from>
    <xdr:to>
      <xdr:col>52</xdr:col>
      <xdr:colOff>0</xdr:colOff>
      <xdr:row>13</xdr:row>
      <xdr:rowOff>0</xdr:rowOff>
    </xdr:to>
    <xdr:sp macro="" textlink="">
      <xdr:nvSpPr>
        <xdr:cNvPr id="221" name="Textfeld 117"/>
        <xdr:cNvSpPr txBox="1"/>
      </xdr:nvSpPr>
      <xdr:spPr>
        <a:xfrm>
          <a:off x="10870406" y="2059781"/>
          <a:ext cx="452438" cy="857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50</xdr:col>
      <xdr:colOff>0</xdr:colOff>
      <xdr:row>13</xdr:row>
      <xdr:rowOff>0</xdr:rowOff>
    </xdr:from>
    <xdr:to>
      <xdr:col>52</xdr:col>
      <xdr:colOff>1</xdr:colOff>
      <xdr:row>17</xdr:row>
      <xdr:rowOff>0</xdr:rowOff>
    </xdr:to>
    <xdr:sp macro="" textlink="">
      <xdr:nvSpPr>
        <xdr:cNvPr id="222" name="Textfeld 117"/>
        <xdr:cNvSpPr txBox="1"/>
      </xdr:nvSpPr>
      <xdr:spPr>
        <a:xfrm>
          <a:off x="10870406" y="2917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51</xdr:col>
      <xdr:colOff>226218</xdr:colOff>
      <xdr:row>77</xdr:row>
      <xdr:rowOff>0</xdr:rowOff>
    </xdr:from>
    <xdr:to>
      <xdr:col>54</xdr:col>
      <xdr:colOff>1</xdr:colOff>
      <xdr:row>81</xdr:row>
      <xdr:rowOff>0</xdr:rowOff>
    </xdr:to>
    <xdr:sp macro="" textlink="">
      <xdr:nvSpPr>
        <xdr:cNvPr id="223" name="Textfeld 117"/>
        <xdr:cNvSpPr txBox="1"/>
      </xdr:nvSpPr>
      <xdr:spPr>
        <a:xfrm>
          <a:off x="11322843" y="12061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52</xdr:col>
      <xdr:colOff>0</xdr:colOff>
      <xdr:row>81</xdr:row>
      <xdr:rowOff>0</xdr:rowOff>
    </xdr:from>
    <xdr:to>
      <xdr:col>54</xdr:col>
      <xdr:colOff>0</xdr:colOff>
      <xdr:row>83</xdr:row>
      <xdr:rowOff>0</xdr:rowOff>
    </xdr:to>
    <xdr:sp macro="" textlink="">
      <xdr:nvSpPr>
        <xdr:cNvPr id="224" name="Textfeld 117"/>
        <xdr:cNvSpPr txBox="1"/>
      </xdr:nvSpPr>
      <xdr:spPr>
        <a:xfrm>
          <a:off x="11322844" y="12632531"/>
          <a:ext cx="452437" cy="285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51</xdr:col>
      <xdr:colOff>226218</xdr:colOff>
      <xdr:row>37</xdr:row>
      <xdr:rowOff>0</xdr:rowOff>
    </xdr:from>
    <xdr:to>
      <xdr:col>54</xdr:col>
      <xdr:colOff>0</xdr:colOff>
      <xdr:row>77</xdr:row>
      <xdr:rowOff>0</xdr:rowOff>
    </xdr:to>
    <xdr:sp macro="" textlink="">
      <xdr:nvSpPr>
        <xdr:cNvPr id="225" name="Textfeld 117"/>
        <xdr:cNvSpPr txBox="1"/>
      </xdr:nvSpPr>
      <xdr:spPr>
        <a:xfrm>
          <a:off x="11322843" y="6346031"/>
          <a:ext cx="452438" cy="5715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51</xdr:col>
      <xdr:colOff>226218</xdr:colOff>
      <xdr:row>33</xdr:row>
      <xdr:rowOff>0</xdr:rowOff>
    </xdr:from>
    <xdr:to>
      <xdr:col>54</xdr:col>
      <xdr:colOff>1</xdr:colOff>
      <xdr:row>37</xdr:row>
      <xdr:rowOff>0</xdr:rowOff>
    </xdr:to>
    <xdr:sp macro="" textlink="">
      <xdr:nvSpPr>
        <xdr:cNvPr id="226" name="Textfeld 117"/>
        <xdr:cNvSpPr txBox="1"/>
      </xdr:nvSpPr>
      <xdr:spPr>
        <a:xfrm>
          <a:off x="11322843" y="5774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51</xdr:col>
      <xdr:colOff>226218</xdr:colOff>
      <xdr:row>7</xdr:row>
      <xdr:rowOff>0</xdr:rowOff>
    </xdr:from>
    <xdr:to>
      <xdr:col>53</xdr:col>
      <xdr:colOff>226217</xdr:colOff>
      <xdr:row>33</xdr:row>
      <xdr:rowOff>0</xdr:rowOff>
    </xdr:to>
    <xdr:sp macro="" textlink="">
      <xdr:nvSpPr>
        <xdr:cNvPr id="227" name="Textfeld 117"/>
        <xdr:cNvSpPr txBox="1"/>
      </xdr:nvSpPr>
      <xdr:spPr>
        <a:xfrm>
          <a:off x="11322843" y="2059781"/>
          <a:ext cx="452437" cy="3714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60</xdr:col>
      <xdr:colOff>0</xdr:colOff>
      <xdr:row>7</xdr:row>
      <xdr:rowOff>0</xdr:rowOff>
    </xdr:from>
    <xdr:to>
      <xdr:col>62</xdr:col>
      <xdr:colOff>1</xdr:colOff>
      <xdr:row>83</xdr:row>
      <xdr:rowOff>0</xdr:rowOff>
    </xdr:to>
    <xdr:sp macro="" textlink="">
      <xdr:nvSpPr>
        <xdr:cNvPr id="228" name="Textfeld 117"/>
        <xdr:cNvSpPr txBox="1"/>
      </xdr:nvSpPr>
      <xdr:spPr>
        <a:xfrm>
          <a:off x="12989719" y="2059781"/>
          <a:ext cx="452438" cy="1085850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74</xdr:col>
      <xdr:colOff>0</xdr:colOff>
      <xdr:row>7</xdr:row>
      <xdr:rowOff>1</xdr:rowOff>
    </xdr:from>
    <xdr:to>
      <xdr:col>76</xdr:col>
      <xdr:colOff>0</xdr:colOff>
      <xdr:row>39</xdr:row>
      <xdr:rowOff>1</xdr:rowOff>
    </xdr:to>
    <xdr:sp macro="" textlink="">
      <xdr:nvSpPr>
        <xdr:cNvPr id="229" name="Textfeld 117"/>
        <xdr:cNvSpPr txBox="1"/>
      </xdr:nvSpPr>
      <xdr:spPr>
        <a:xfrm>
          <a:off x="15990094" y="2059782"/>
          <a:ext cx="428625" cy="457200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62</xdr:col>
      <xdr:colOff>0</xdr:colOff>
      <xdr:row>7</xdr:row>
      <xdr:rowOff>0</xdr:rowOff>
    </xdr:from>
    <xdr:to>
      <xdr:col>64</xdr:col>
      <xdr:colOff>0</xdr:colOff>
      <xdr:row>41</xdr:row>
      <xdr:rowOff>0</xdr:rowOff>
    </xdr:to>
    <xdr:sp macro="" textlink="">
      <xdr:nvSpPr>
        <xdr:cNvPr id="241" name="Textfeld 117"/>
        <xdr:cNvSpPr txBox="1"/>
      </xdr:nvSpPr>
      <xdr:spPr>
        <a:xfrm>
          <a:off x="13442156" y="2059781"/>
          <a:ext cx="452438" cy="4857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62</xdr:col>
      <xdr:colOff>0</xdr:colOff>
      <xdr:row>45</xdr:row>
      <xdr:rowOff>0</xdr:rowOff>
    </xdr:from>
    <xdr:to>
      <xdr:col>63</xdr:col>
      <xdr:colOff>226218</xdr:colOff>
      <xdr:row>73</xdr:row>
      <xdr:rowOff>0</xdr:rowOff>
    </xdr:to>
    <xdr:sp macro="" textlink="">
      <xdr:nvSpPr>
        <xdr:cNvPr id="242" name="Textfeld 117"/>
        <xdr:cNvSpPr txBox="1"/>
      </xdr:nvSpPr>
      <xdr:spPr>
        <a:xfrm>
          <a:off x="13442156" y="7489031"/>
          <a:ext cx="452437" cy="4000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63</xdr:col>
      <xdr:colOff>226218</xdr:colOff>
      <xdr:row>17</xdr:row>
      <xdr:rowOff>0</xdr:rowOff>
    </xdr:from>
    <xdr:to>
      <xdr:col>65</xdr:col>
      <xdr:colOff>226217</xdr:colOff>
      <xdr:row>73</xdr:row>
      <xdr:rowOff>0</xdr:rowOff>
    </xdr:to>
    <xdr:sp macro="" textlink="">
      <xdr:nvSpPr>
        <xdr:cNvPr id="244" name="Textfeld 117"/>
        <xdr:cNvSpPr txBox="1"/>
      </xdr:nvSpPr>
      <xdr:spPr>
        <a:xfrm>
          <a:off x="13894593" y="3488531"/>
          <a:ext cx="452437" cy="80010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63</xdr:col>
      <xdr:colOff>226218</xdr:colOff>
      <xdr:row>7</xdr:row>
      <xdr:rowOff>0</xdr:rowOff>
    </xdr:from>
    <xdr:to>
      <xdr:col>66</xdr:col>
      <xdr:colOff>0</xdr:colOff>
      <xdr:row>13</xdr:row>
      <xdr:rowOff>0</xdr:rowOff>
    </xdr:to>
    <xdr:sp macro="" textlink="">
      <xdr:nvSpPr>
        <xdr:cNvPr id="245" name="Textfeld 117"/>
        <xdr:cNvSpPr txBox="1"/>
      </xdr:nvSpPr>
      <xdr:spPr>
        <a:xfrm>
          <a:off x="13894593" y="2059781"/>
          <a:ext cx="452438" cy="857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63</xdr:col>
      <xdr:colOff>226218</xdr:colOff>
      <xdr:row>13</xdr:row>
      <xdr:rowOff>0</xdr:rowOff>
    </xdr:from>
    <xdr:to>
      <xdr:col>66</xdr:col>
      <xdr:colOff>1</xdr:colOff>
      <xdr:row>17</xdr:row>
      <xdr:rowOff>0</xdr:rowOff>
    </xdr:to>
    <xdr:sp macro="" textlink="">
      <xdr:nvSpPr>
        <xdr:cNvPr id="246" name="Textfeld 117"/>
        <xdr:cNvSpPr txBox="1"/>
      </xdr:nvSpPr>
      <xdr:spPr>
        <a:xfrm>
          <a:off x="13894593" y="2917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66</xdr:col>
      <xdr:colOff>0</xdr:colOff>
      <xdr:row>37</xdr:row>
      <xdr:rowOff>0</xdr:rowOff>
    </xdr:from>
    <xdr:to>
      <xdr:col>68</xdr:col>
      <xdr:colOff>0</xdr:colOff>
      <xdr:row>73</xdr:row>
      <xdr:rowOff>0</xdr:rowOff>
    </xdr:to>
    <xdr:sp macro="" textlink="">
      <xdr:nvSpPr>
        <xdr:cNvPr id="249" name="Textfeld 117"/>
        <xdr:cNvSpPr txBox="1"/>
      </xdr:nvSpPr>
      <xdr:spPr>
        <a:xfrm>
          <a:off x="14347031" y="6346031"/>
          <a:ext cx="452438" cy="51435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65</xdr:col>
      <xdr:colOff>226217</xdr:colOff>
      <xdr:row>33</xdr:row>
      <xdr:rowOff>0</xdr:rowOff>
    </xdr:from>
    <xdr:to>
      <xdr:col>68</xdr:col>
      <xdr:colOff>0</xdr:colOff>
      <xdr:row>37</xdr:row>
      <xdr:rowOff>0</xdr:rowOff>
    </xdr:to>
    <xdr:sp macro="" textlink="">
      <xdr:nvSpPr>
        <xdr:cNvPr id="250" name="Textfeld 117"/>
        <xdr:cNvSpPr txBox="1"/>
      </xdr:nvSpPr>
      <xdr:spPr>
        <a:xfrm>
          <a:off x="14347030" y="5774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65</xdr:col>
      <xdr:colOff>226217</xdr:colOff>
      <xdr:row>7</xdr:row>
      <xdr:rowOff>0</xdr:rowOff>
    </xdr:from>
    <xdr:to>
      <xdr:col>67</xdr:col>
      <xdr:colOff>226217</xdr:colOff>
      <xdr:row>33</xdr:row>
      <xdr:rowOff>0</xdr:rowOff>
    </xdr:to>
    <xdr:sp macro="" textlink="">
      <xdr:nvSpPr>
        <xdr:cNvPr id="251" name="Textfeld 117"/>
        <xdr:cNvSpPr txBox="1"/>
      </xdr:nvSpPr>
      <xdr:spPr>
        <a:xfrm>
          <a:off x="14347030" y="2059781"/>
          <a:ext cx="452437" cy="37147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Ruhe inkl 1h Sport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Ukft</a:t>
          </a:r>
        </a:p>
      </xdr:txBody>
    </xdr:sp>
    <xdr:clientData/>
  </xdr:twoCellAnchor>
  <xdr:twoCellAnchor>
    <xdr:from>
      <xdr:col>62</xdr:col>
      <xdr:colOff>0</xdr:colOff>
      <xdr:row>73</xdr:row>
      <xdr:rowOff>1</xdr:rowOff>
    </xdr:from>
    <xdr:to>
      <xdr:col>68</xdr:col>
      <xdr:colOff>0</xdr:colOff>
      <xdr:row>79</xdr:row>
      <xdr:rowOff>1</xdr:rowOff>
    </xdr:to>
    <xdr:sp macro="" textlink="">
      <xdr:nvSpPr>
        <xdr:cNvPr id="252" name="Textfeld 225"/>
        <xdr:cNvSpPr txBox="1"/>
      </xdr:nvSpPr>
      <xdr:spPr>
        <a:xfrm>
          <a:off x="13442156" y="11489532"/>
          <a:ext cx="1357313" cy="8572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Reorg</a:t>
          </a:r>
        </a:p>
      </xdr:txBody>
    </xdr:sp>
    <xdr:clientData/>
  </xdr:twoCellAnchor>
  <xdr:twoCellAnchor>
    <xdr:from>
      <xdr:col>58</xdr:col>
      <xdr:colOff>0</xdr:colOff>
      <xdr:row>81</xdr:row>
      <xdr:rowOff>0</xdr:rowOff>
    </xdr:from>
    <xdr:to>
      <xdr:col>68</xdr:col>
      <xdr:colOff>0</xdr:colOff>
      <xdr:row>82</xdr:row>
      <xdr:rowOff>0</xdr:rowOff>
    </xdr:to>
    <xdr:sp macro="" textlink="">
      <xdr:nvSpPr>
        <xdr:cNvPr id="253" name="Textfeld 225"/>
        <xdr:cNvSpPr txBox="1"/>
      </xdr:nvSpPr>
      <xdr:spPr>
        <a:xfrm>
          <a:off x="12537281" y="12632531"/>
          <a:ext cx="2262188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2400 - ABV</a:t>
          </a:r>
        </a:p>
      </xdr:txBody>
    </xdr:sp>
    <xdr:clientData/>
  </xdr:twoCellAnchor>
  <xdr:twoCellAnchor>
    <xdr:from>
      <xdr:col>58</xdr:col>
      <xdr:colOff>0</xdr:colOff>
      <xdr:row>79</xdr:row>
      <xdr:rowOff>0</xdr:rowOff>
    </xdr:from>
    <xdr:to>
      <xdr:col>68</xdr:col>
      <xdr:colOff>0</xdr:colOff>
      <xdr:row>81</xdr:row>
      <xdr:rowOff>7327</xdr:rowOff>
    </xdr:to>
    <xdr:sp macro="" textlink="">
      <xdr:nvSpPr>
        <xdr:cNvPr id="254" name="Textfeld 225"/>
        <xdr:cNvSpPr txBox="1"/>
      </xdr:nvSpPr>
      <xdr:spPr>
        <a:xfrm>
          <a:off x="12537281" y="12346781"/>
          <a:ext cx="2262188" cy="293077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72</xdr:col>
      <xdr:colOff>0</xdr:colOff>
      <xdr:row>15</xdr:row>
      <xdr:rowOff>0</xdr:rowOff>
    </xdr:from>
    <xdr:to>
      <xdr:col>74</xdr:col>
      <xdr:colOff>1</xdr:colOff>
      <xdr:row>39</xdr:row>
      <xdr:rowOff>0</xdr:rowOff>
    </xdr:to>
    <xdr:sp macro="" textlink="">
      <xdr:nvSpPr>
        <xdr:cNvPr id="255" name="Textfeld 225"/>
        <xdr:cNvSpPr txBox="1"/>
      </xdr:nvSpPr>
      <xdr:spPr>
        <a:xfrm>
          <a:off x="15561469" y="3202781"/>
          <a:ext cx="428626" cy="34290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Rückbau</a:t>
          </a:r>
          <a:r>
            <a:rPr lang="de-CH" sz="900" b="1" i="0" u="none" baseline="0">
              <a:solidFill>
                <a:sysClr val="windowText" lastClr="000000"/>
              </a:solidFill>
              <a:latin typeface="Arial"/>
            </a:rPr>
            <a:t> Therwil</a:t>
          </a:r>
          <a:endParaRPr lang="de-CH" sz="900" b="1" i="0" u="none">
            <a:solidFill>
              <a:sysClr val="windowText" lastClr="000000"/>
            </a:solidFill>
            <a:latin typeface="Arial"/>
          </a:endParaRPr>
        </a:p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Vs Härkingen</a:t>
          </a:r>
        </a:p>
      </xdr:txBody>
    </xdr:sp>
    <xdr:clientData/>
  </xdr:twoCellAnchor>
  <xdr:twoCellAnchor>
    <xdr:from>
      <xdr:col>72</xdr:col>
      <xdr:colOff>0</xdr:colOff>
      <xdr:row>43</xdr:row>
      <xdr:rowOff>142874</xdr:rowOff>
    </xdr:from>
    <xdr:to>
      <xdr:col>78</xdr:col>
      <xdr:colOff>0</xdr:colOff>
      <xdr:row>76</xdr:row>
      <xdr:rowOff>142874</xdr:rowOff>
    </xdr:to>
    <xdr:sp macro="" textlink="">
      <xdr:nvSpPr>
        <xdr:cNvPr id="256" name="Textfeld 117"/>
        <xdr:cNvSpPr txBox="1"/>
      </xdr:nvSpPr>
      <xdr:spPr>
        <a:xfrm>
          <a:off x="15561469" y="7346155"/>
          <a:ext cx="1285875" cy="4714875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78</xdr:col>
      <xdr:colOff>0</xdr:colOff>
      <xdr:row>7</xdr:row>
      <xdr:rowOff>0</xdr:rowOff>
    </xdr:from>
    <xdr:to>
      <xdr:col>80</xdr:col>
      <xdr:colOff>0</xdr:colOff>
      <xdr:row>39</xdr:row>
      <xdr:rowOff>0</xdr:rowOff>
    </xdr:to>
    <xdr:sp macro="" textlink="">
      <xdr:nvSpPr>
        <xdr:cNvPr id="257" name="Textfeld 117"/>
        <xdr:cNvSpPr txBox="1"/>
      </xdr:nvSpPr>
      <xdr:spPr>
        <a:xfrm>
          <a:off x="16847344" y="2059781"/>
          <a:ext cx="428625" cy="4572000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78</xdr:col>
      <xdr:colOff>0</xdr:colOff>
      <xdr:row>43</xdr:row>
      <xdr:rowOff>142874</xdr:rowOff>
    </xdr:from>
    <xdr:to>
      <xdr:col>80</xdr:col>
      <xdr:colOff>0</xdr:colOff>
      <xdr:row>82</xdr:row>
      <xdr:rowOff>142874</xdr:rowOff>
    </xdr:to>
    <xdr:sp macro="" textlink="">
      <xdr:nvSpPr>
        <xdr:cNvPr id="258" name="Textfeld 117"/>
        <xdr:cNvSpPr txBox="1"/>
      </xdr:nvSpPr>
      <xdr:spPr>
        <a:xfrm>
          <a:off x="16847344" y="7346155"/>
          <a:ext cx="428625" cy="5572125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80</xdr:col>
      <xdr:colOff>0</xdr:colOff>
      <xdr:row>7</xdr:row>
      <xdr:rowOff>1</xdr:rowOff>
    </xdr:from>
    <xdr:to>
      <xdr:col>82</xdr:col>
      <xdr:colOff>0</xdr:colOff>
      <xdr:row>39</xdr:row>
      <xdr:rowOff>1</xdr:rowOff>
    </xdr:to>
    <xdr:sp macro="" textlink="">
      <xdr:nvSpPr>
        <xdr:cNvPr id="259" name="Textfeld 225"/>
        <xdr:cNvSpPr txBox="1"/>
      </xdr:nvSpPr>
      <xdr:spPr>
        <a:xfrm>
          <a:off x="17275969" y="2059782"/>
          <a:ext cx="428625" cy="457200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Wochenendwache</a:t>
          </a:r>
        </a:p>
      </xdr:txBody>
    </xdr:sp>
    <xdr:clientData/>
  </xdr:twoCellAnchor>
  <xdr:twoCellAnchor>
    <xdr:from>
      <xdr:col>62</xdr:col>
      <xdr:colOff>0</xdr:colOff>
      <xdr:row>41</xdr:row>
      <xdr:rowOff>0</xdr:rowOff>
    </xdr:from>
    <xdr:to>
      <xdr:col>64</xdr:col>
      <xdr:colOff>1</xdr:colOff>
      <xdr:row>45</xdr:row>
      <xdr:rowOff>0</xdr:rowOff>
    </xdr:to>
    <xdr:sp macro="" textlink="">
      <xdr:nvSpPr>
        <xdr:cNvPr id="260" name="Textfeld 117"/>
        <xdr:cNvSpPr txBox="1"/>
      </xdr:nvSpPr>
      <xdr:spPr>
        <a:xfrm>
          <a:off x="13442156" y="69175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56</xdr:col>
      <xdr:colOff>0</xdr:colOff>
      <xdr:row>20</xdr:row>
      <xdr:rowOff>142874</xdr:rowOff>
    </xdr:from>
    <xdr:to>
      <xdr:col>57</xdr:col>
      <xdr:colOff>0</xdr:colOff>
      <xdr:row>25</xdr:row>
      <xdr:rowOff>142874</xdr:rowOff>
    </xdr:to>
    <xdr:sp macro="" textlink="">
      <xdr:nvSpPr>
        <xdr:cNvPr id="261" name="Textfeld 117"/>
        <xdr:cNvSpPr txBox="1"/>
      </xdr:nvSpPr>
      <xdr:spPr>
        <a:xfrm>
          <a:off x="12227719" y="4060030"/>
          <a:ext cx="250031" cy="71437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40</a:t>
          </a:r>
        </a:p>
      </xdr:txBody>
    </xdr:sp>
    <xdr:clientData/>
  </xdr:twoCellAnchor>
  <xdr:twoCellAnchor>
    <xdr:from>
      <xdr:col>8</xdr:col>
      <xdr:colOff>0</xdr:colOff>
      <xdr:row>69</xdr:row>
      <xdr:rowOff>0</xdr:rowOff>
    </xdr:from>
    <xdr:to>
      <xdr:col>10</xdr:col>
      <xdr:colOff>2</xdr:colOff>
      <xdr:row>73</xdr:row>
      <xdr:rowOff>0</xdr:rowOff>
    </xdr:to>
    <xdr:sp macro="" textlink="">
      <xdr:nvSpPr>
        <xdr:cNvPr id="262" name="Textfeld 117"/>
        <xdr:cNvSpPr txBox="1"/>
      </xdr:nvSpPr>
      <xdr:spPr>
        <a:xfrm>
          <a:off x="1797844" y="10918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22</xdr:col>
      <xdr:colOff>0</xdr:colOff>
      <xdr:row>69</xdr:row>
      <xdr:rowOff>0</xdr:rowOff>
    </xdr:from>
    <xdr:to>
      <xdr:col>24</xdr:col>
      <xdr:colOff>1</xdr:colOff>
      <xdr:row>73</xdr:row>
      <xdr:rowOff>0</xdr:rowOff>
    </xdr:to>
    <xdr:sp macro="" textlink="">
      <xdr:nvSpPr>
        <xdr:cNvPr id="263" name="Textfeld 117"/>
        <xdr:cNvSpPr txBox="1"/>
      </xdr:nvSpPr>
      <xdr:spPr>
        <a:xfrm>
          <a:off x="4822031" y="10918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36</xdr:col>
      <xdr:colOff>0</xdr:colOff>
      <xdr:row>69</xdr:row>
      <xdr:rowOff>0</xdr:rowOff>
    </xdr:from>
    <xdr:to>
      <xdr:col>38</xdr:col>
      <xdr:colOff>2</xdr:colOff>
      <xdr:row>73</xdr:row>
      <xdr:rowOff>0</xdr:rowOff>
    </xdr:to>
    <xdr:sp macro="" textlink="">
      <xdr:nvSpPr>
        <xdr:cNvPr id="264" name="Textfeld 117"/>
        <xdr:cNvSpPr txBox="1"/>
      </xdr:nvSpPr>
      <xdr:spPr>
        <a:xfrm>
          <a:off x="7846219" y="10918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50</xdr:col>
      <xdr:colOff>0</xdr:colOff>
      <xdr:row>69</xdr:row>
      <xdr:rowOff>0</xdr:rowOff>
    </xdr:from>
    <xdr:to>
      <xdr:col>52</xdr:col>
      <xdr:colOff>1</xdr:colOff>
      <xdr:row>73</xdr:row>
      <xdr:rowOff>0</xdr:rowOff>
    </xdr:to>
    <xdr:sp macro="" textlink="">
      <xdr:nvSpPr>
        <xdr:cNvPr id="265" name="Textfeld 117"/>
        <xdr:cNvSpPr txBox="1"/>
      </xdr:nvSpPr>
      <xdr:spPr>
        <a:xfrm>
          <a:off x="10870406" y="10918031"/>
          <a:ext cx="452439" cy="5715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Briefing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HoTo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Rm</a:t>
          </a:r>
        </a:p>
      </xdr:txBody>
    </xdr:sp>
    <xdr:clientData/>
  </xdr:twoCellAnchor>
  <xdr:twoCellAnchor>
    <xdr:from>
      <xdr:col>16</xdr:col>
      <xdr:colOff>0</xdr:colOff>
      <xdr:row>7</xdr:row>
      <xdr:rowOff>0</xdr:rowOff>
    </xdr:from>
    <xdr:to>
      <xdr:col>18</xdr:col>
      <xdr:colOff>1</xdr:colOff>
      <xdr:row>83</xdr:row>
      <xdr:rowOff>0</xdr:rowOff>
    </xdr:to>
    <xdr:sp macro="" textlink="">
      <xdr:nvSpPr>
        <xdr:cNvPr id="266" name="Text 693"/>
        <xdr:cNvSpPr txBox="1">
          <a:spLocks noChangeArrowheads="1"/>
        </xdr:cNvSpPr>
      </xdr:nvSpPr>
      <xdr:spPr bwMode="auto">
        <a:xfrm flipV="1">
          <a:off x="3464719" y="2059781"/>
          <a:ext cx="452438" cy="1085850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30</xdr:col>
      <xdr:colOff>0</xdr:colOff>
      <xdr:row>7</xdr:row>
      <xdr:rowOff>0</xdr:rowOff>
    </xdr:from>
    <xdr:to>
      <xdr:col>32</xdr:col>
      <xdr:colOff>0</xdr:colOff>
      <xdr:row>83</xdr:row>
      <xdr:rowOff>0</xdr:rowOff>
    </xdr:to>
    <xdr:sp macro="" textlink="">
      <xdr:nvSpPr>
        <xdr:cNvPr id="267" name="Text 693"/>
        <xdr:cNvSpPr txBox="1">
          <a:spLocks noChangeArrowheads="1"/>
        </xdr:cNvSpPr>
      </xdr:nvSpPr>
      <xdr:spPr bwMode="auto">
        <a:xfrm flipV="1">
          <a:off x="6488906" y="2059781"/>
          <a:ext cx="452438" cy="1085850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44</xdr:col>
      <xdr:colOff>0</xdr:colOff>
      <xdr:row>7</xdr:row>
      <xdr:rowOff>0</xdr:rowOff>
    </xdr:from>
    <xdr:to>
      <xdr:col>46</xdr:col>
      <xdr:colOff>1</xdr:colOff>
      <xdr:row>83</xdr:row>
      <xdr:rowOff>0</xdr:rowOff>
    </xdr:to>
    <xdr:sp macro="" textlink="">
      <xdr:nvSpPr>
        <xdr:cNvPr id="268" name="Text 693"/>
        <xdr:cNvSpPr txBox="1">
          <a:spLocks noChangeArrowheads="1"/>
        </xdr:cNvSpPr>
      </xdr:nvSpPr>
      <xdr:spPr bwMode="auto">
        <a:xfrm flipV="1">
          <a:off x="9513094" y="2059781"/>
          <a:ext cx="452438" cy="1085850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58</xdr:col>
      <xdr:colOff>0</xdr:colOff>
      <xdr:row>7</xdr:row>
      <xdr:rowOff>0</xdr:rowOff>
    </xdr:from>
    <xdr:to>
      <xdr:col>60</xdr:col>
      <xdr:colOff>0</xdr:colOff>
      <xdr:row>79</xdr:row>
      <xdr:rowOff>0</xdr:rowOff>
    </xdr:to>
    <xdr:sp macro="" textlink="">
      <xdr:nvSpPr>
        <xdr:cNvPr id="269" name="Text 693"/>
        <xdr:cNvSpPr txBox="1">
          <a:spLocks noChangeArrowheads="1"/>
        </xdr:cNvSpPr>
      </xdr:nvSpPr>
      <xdr:spPr bwMode="auto">
        <a:xfrm flipV="1">
          <a:off x="12537281" y="2059781"/>
          <a:ext cx="452438" cy="1028700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</a:t>
          </a:r>
        </a:p>
      </xdr:txBody>
    </xdr:sp>
    <xdr:clientData/>
  </xdr:twoCellAnchor>
  <xdr:twoCellAnchor>
    <xdr:from>
      <xdr:col>71</xdr:col>
      <xdr:colOff>59530</xdr:colOff>
      <xdr:row>9</xdr:row>
      <xdr:rowOff>0</xdr:rowOff>
    </xdr:from>
    <xdr:to>
      <xdr:col>81</xdr:col>
      <xdr:colOff>214312</xdr:colOff>
      <xdr:row>12</xdr:row>
      <xdr:rowOff>0</xdr:rowOff>
    </xdr:to>
    <xdr:sp macro="" textlink="">
      <xdr:nvSpPr>
        <xdr:cNvPr id="100" name="Textfeld 225"/>
        <xdr:cNvSpPr txBox="1"/>
      </xdr:nvSpPr>
      <xdr:spPr>
        <a:xfrm>
          <a:off x="15561468" y="2345531"/>
          <a:ext cx="2143125" cy="42862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71</xdr:col>
      <xdr:colOff>59530</xdr:colOff>
      <xdr:row>13</xdr:row>
      <xdr:rowOff>0</xdr:rowOff>
    </xdr:from>
    <xdr:to>
      <xdr:col>81</xdr:col>
      <xdr:colOff>214312</xdr:colOff>
      <xdr:row>14</xdr:row>
      <xdr:rowOff>0</xdr:rowOff>
    </xdr:to>
    <xdr:sp macro="" textlink="">
      <xdr:nvSpPr>
        <xdr:cNvPr id="103" name="Textfeld 225"/>
        <xdr:cNvSpPr txBox="1"/>
      </xdr:nvSpPr>
      <xdr:spPr>
        <a:xfrm>
          <a:off x="15561468" y="2917031"/>
          <a:ext cx="2143125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71</xdr:col>
      <xdr:colOff>59530</xdr:colOff>
      <xdr:row>7</xdr:row>
      <xdr:rowOff>0</xdr:rowOff>
    </xdr:from>
    <xdr:to>
      <xdr:col>81</xdr:col>
      <xdr:colOff>214312</xdr:colOff>
      <xdr:row>8</xdr:row>
      <xdr:rowOff>0</xdr:rowOff>
    </xdr:to>
    <xdr:sp macro="" textlink="">
      <xdr:nvSpPr>
        <xdr:cNvPr id="104" name="Textfeld 225"/>
        <xdr:cNvSpPr txBox="1"/>
      </xdr:nvSpPr>
      <xdr:spPr>
        <a:xfrm>
          <a:off x="15561468" y="2059781"/>
          <a:ext cx="2143125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76</xdr:col>
      <xdr:colOff>0</xdr:colOff>
      <xdr:row>15</xdr:row>
      <xdr:rowOff>0</xdr:rowOff>
    </xdr:from>
    <xdr:to>
      <xdr:col>78</xdr:col>
      <xdr:colOff>1</xdr:colOff>
      <xdr:row>39</xdr:row>
      <xdr:rowOff>0</xdr:rowOff>
    </xdr:to>
    <xdr:sp macro="" textlink="">
      <xdr:nvSpPr>
        <xdr:cNvPr id="105" name="Textfeld 225"/>
        <xdr:cNvSpPr txBox="1"/>
      </xdr:nvSpPr>
      <xdr:spPr>
        <a:xfrm>
          <a:off x="16418719" y="3202781"/>
          <a:ext cx="428626" cy="34290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Rückbau</a:t>
          </a:r>
          <a:r>
            <a:rPr lang="de-CH" sz="900" b="1" i="0" u="none" baseline="0">
              <a:solidFill>
                <a:sysClr val="windowText" lastClr="000000"/>
              </a:solidFill>
              <a:latin typeface="Arial"/>
            </a:rPr>
            <a:t> Therwil</a:t>
          </a:r>
          <a:endParaRPr lang="de-CH" sz="900" b="1" i="0" u="none">
            <a:solidFill>
              <a:sysClr val="windowText" lastClr="000000"/>
            </a:solidFill>
            <a:latin typeface="Arial"/>
          </a:endParaRPr>
        </a:p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Vs Härkingen</a:t>
          </a:r>
        </a:p>
      </xdr:txBody>
    </xdr:sp>
    <xdr:clientData/>
  </xdr:twoCellAnchor>
  <xdr:twoCellAnchor>
    <xdr:from>
      <xdr:col>14</xdr:col>
      <xdr:colOff>0</xdr:colOff>
      <xdr:row>81</xdr:row>
      <xdr:rowOff>0</xdr:rowOff>
    </xdr:from>
    <xdr:to>
      <xdr:col>15</xdr:col>
      <xdr:colOff>0</xdr:colOff>
      <xdr:row>83</xdr:row>
      <xdr:rowOff>0</xdr:rowOff>
    </xdr:to>
    <xdr:sp macro="" textlink="">
      <xdr:nvSpPr>
        <xdr:cNvPr id="106" name="Textfeld 193"/>
        <xdr:cNvSpPr txBox="1"/>
      </xdr:nvSpPr>
      <xdr:spPr>
        <a:xfrm>
          <a:off x="3155156" y="12632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28</xdr:col>
      <xdr:colOff>0</xdr:colOff>
      <xdr:row>49</xdr:row>
      <xdr:rowOff>0</xdr:rowOff>
    </xdr:from>
    <xdr:to>
      <xdr:col>29</xdr:col>
      <xdr:colOff>1</xdr:colOff>
      <xdr:row>51</xdr:row>
      <xdr:rowOff>0</xdr:rowOff>
    </xdr:to>
    <xdr:sp macro="" textlink="">
      <xdr:nvSpPr>
        <xdr:cNvPr id="107" name="Textfeld 193"/>
        <xdr:cNvSpPr txBox="1"/>
      </xdr:nvSpPr>
      <xdr:spPr>
        <a:xfrm>
          <a:off x="6179344" y="8060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28</xdr:col>
      <xdr:colOff>0</xdr:colOff>
      <xdr:row>81</xdr:row>
      <xdr:rowOff>0</xdr:rowOff>
    </xdr:from>
    <xdr:to>
      <xdr:col>29</xdr:col>
      <xdr:colOff>1</xdr:colOff>
      <xdr:row>83</xdr:row>
      <xdr:rowOff>0</xdr:rowOff>
    </xdr:to>
    <xdr:sp macro="" textlink="">
      <xdr:nvSpPr>
        <xdr:cNvPr id="108" name="Textfeld 193"/>
        <xdr:cNvSpPr txBox="1"/>
      </xdr:nvSpPr>
      <xdr:spPr>
        <a:xfrm>
          <a:off x="6179344" y="12632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42</xdr:col>
      <xdr:colOff>0</xdr:colOff>
      <xdr:row>49</xdr:row>
      <xdr:rowOff>0</xdr:rowOff>
    </xdr:from>
    <xdr:to>
      <xdr:col>43</xdr:col>
      <xdr:colOff>0</xdr:colOff>
      <xdr:row>51</xdr:row>
      <xdr:rowOff>0</xdr:rowOff>
    </xdr:to>
    <xdr:sp macro="" textlink="">
      <xdr:nvSpPr>
        <xdr:cNvPr id="109" name="Textfeld 193"/>
        <xdr:cNvSpPr txBox="1"/>
      </xdr:nvSpPr>
      <xdr:spPr>
        <a:xfrm>
          <a:off x="9203531" y="8060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42</xdr:col>
      <xdr:colOff>0</xdr:colOff>
      <xdr:row>81</xdr:row>
      <xdr:rowOff>0</xdr:rowOff>
    </xdr:from>
    <xdr:to>
      <xdr:col>43</xdr:col>
      <xdr:colOff>0</xdr:colOff>
      <xdr:row>83</xdr:row>
      <xdr:rowOff>0</xdr:rowOff>
    </xdr:to>
    <xdr:sp macro="" textlink="">
      <xdr:nvSpPr>
        <xdr:cNvPr id="110" name="Textfeld 193"/>
        <xdr:cNvSpPr txBox="1"/>
      </xdr:nvSpPr>
      <xdr:spPr>
        <a:xfrm>
          <a:off x="9203531" y="12632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56</xdr:col>
      <xdr:colOff>0</xdr:colOff>
      <xdr:row>49</xdr:row>
      <xdr:rowOff>0</xdr:rowOff>
    </xdr:from>
    <xdr:to>
      <xdr:col>57</xdr:col>
      <xdr:colOff>1</xdr:colOff>
      <xdr:row>51</xdr:row>
      <xdr:rowOff>0</xdr:rowOff>
    </xdr:to>
    <xdr:sp macro="" textlink="">
      <xdr:nvSpPr>
        <xdr:cNvPr id="111" name="Textfeld 193"/>
        <xdr:cNvSpPr txBox="1"/>
      </xdr:nvSpPr>
      <xdr:spPr>
        <a:xfrm>
          <a:off x="12227719" y="8060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56</xdr:col>
      <xdr:colOff>0</xdr:colOff>
      <xdr:row>81</xdr:row>
      <xdr:rowOff>0</xdr:rowOff>
    </xdr:from>
    <xdr:to>
      <xdr:col>57</xdr:col>
      <xdr:colOff>1</xdr:colOff>
      <xdr:row>83</xdr:row>
      <xdr:rowOff>0</xdr:rowOff>
    </xdr:to>
    <xdr:sp macro="" textlink="">
      <xdr:nvSpPr>
        <xdr:cNvPr id="112" name="Textfeld 193"/>
        <xdr:cNvSpPr txBox="1"/>
      </xdr:nvSpPr>
      <xdr:spPr>
        <a:xfrm>
          <a:off x="12227719" y="12632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70</xdr:col>
      <xdr:colOff>0</xdr:colOff>
      <xdr:row>49</xdr:row>
      <xdr:rowOff>0</xdr:rowOff>
    </xdr:from>
    <xdr:to>
      <xdr:col>71</xdr:col>
      <xdr:colOff>0</xdr:colOff>
      <xdr:row>51</xdr:row>
      <xdr:rowOff>0</xdr:rowOff>
    </xdr:to>
    <xdr:sp macro="" textlink="">
      <xdr:nvSpPr>
        <xdr:cNvPr id="113" name="Textfeld 193"/>
        <xdr:cNvSpPr txBox="1"/>
      </xdr:nvSpPr>
      <xdr:spPr>
        <a:xfrm>
          <a:off x="15251906" y="8060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88</xdr:col>
      <xdr:colOff>28575</xdr:colOff>
      <xdr:row>80</xdr:row>
      <xdr:rowOff>10574</xdr:rowOff>
    </xdr:from>
    <xdr:to>
      <xdr:col>90</xdr:col>
      <xdr:colOff>352425</xdr:colOff>
      <xdr:row>82</xdr:row>
      <xdr:rowOff>85599</xdr:rowOff>
    </xdr:to>
    <xdr:pic>
      <xdr:nvPicPr>
        <xdr:cNvPr id="15" name="Grafik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00" y="12497849"/>
          <a:ext cx="752475" cy="360775"/>
        </a:xfrm>
        <a:prstGeom prst="rect">
          <a:avLst/>
        </a:prstGeom>
      </xdr:spPr>
    </xdr:pic>
    <xdr:clientData/>
  </xdr:twoCellAnchor>
  <xdr:twoCellAnchor>
    <xdr:from>
      <xdr:col>84</xdr:col>
      <xdr:colOff>1</xdr:colOff>
      <xdr:row>75</xdr:row>
      <xdr:rowOff>0</xdr:rowOff>
    </xdr:from>
    <xdr:to>
      <xdr:col>85</xdr:col>
      <xdr:colOff>0</xdr:colOff>
      <xdr:row>78</xdr:row>
      <xdr:rowOff>0</xdr:rowOff>
    </xdr:to>
    <xdr:sp macro="" textlink="">
      <xdr:nvSpPr>
        <xdr:cNvPr id="4" name="Textfeld 225"/>
        <xdr:cNvSpPr txBox="1"/>
      </xdr:nvSpPr>
      <xdr:spPr>
        <a:xfrm>
          <a:off x="18307051" y="11772900"/>
          <a:ext cx="219074" cy="428625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RC</a:t>
          </a:r>
        </a:p>
      </xdr:txBody>
    </xdr:sp>
    <xdr:clientData/>
  </xdr:twoCellAnchor>
  <xdr:twoCellAnchor>
    <xdr:from>
      <xdr:col>30</xdr:col>
      <xdr:colOff>0</xdr:colOff>
      <xdr:row>37</xdr:row>
      <xdr:rowOff>0</xdr:rowOff>
    </xdr:from>
    <xdr:to>
      <xdr:col>38</xdr:col>
      <xdr:colOff>0</xdr:colOff>
      <xdr:row>55</xdr:row>
      <xdr:rowOff>1</xdr:rowOff>
    </xdr:to>
    <xdr:sp macro="" textlink="">
      <xdr:nvSpPr>
        <xdr:cNvPr id="22" name="Textfeld 117"/>
        <xdr:cNvSpPr txBox="1"/>
      </xdr:nvSpPr>
      <xdr:spPr>
        <a:xfrm>
          <a:off x="6488906" y="6346031"/>
          <a:ext cx="1809750" cy="257175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WEMA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44</xdr:col>
      <xdr:colOff>1</xdr:colOff>
      <xdr:row>14</xdr:row>
      <xdr:rowOff>142874</xdr:rowOff>
    </xdr:from>
    <xdr:to>
      <xdr:col>52</xdr:col>
      <xdr:colOff>1</xdr:colOff>
      <xdr:row>73</xdr:row>
      <xdr:rowOff>0</xdr:rowOff>
    </xdr:to>
    <xdr:sp macro="" textlink="">
      <xdr:nvSpPr>
        <xdr:cNvPr id="23" name="Textfeld 117"/>
        <xdr:cNvSpPr txBox="1"/>
      </xdr:nvSpPr>
      <xdr:spPr>
        <a:xfrm>
          <a:off x="9513095" y="3202780"/>
          <a:ext cx="1809750" cy="828675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WEMA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58</xdr:col>
      <xdr:colOff>0</xdr:colOff>
      <xdr:row>15</xdr:row>
      <xdr:rowOff>1</xdr:rowOff>
    </xdr:from>
    <xdr:to>
      <xdr:col>66</xdr:col>
      <xdr:colOff>0</xdr:colOff>
      <xdr:row>53</xdr:row>
      <xdr:rowOff>0</xdr:rowOff>
    </xdr:to>
    <xdr:sp macro="" textlink="">
      <xdr:nvSpPr>
        <xdr:cNvPr id="24" name="Textfeld 117"/>
        <xdr:cNvSpPr txBox="1"/>
      </xdr:nvSpPr>
      <xdr:spPr>
        <a:xfrm>
          <a:off x="12537281" y="3202782"/>
          <a:ext cx="1809750" cy="542924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WEMA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30</xdr:col>
      <xdr:colOff>0</xdr:colOff>
      <xdr:row>57</xdr:row>
      <xdr:rowOff>0</xdr:rowOff>
    </xdr:from>
    <xdr:to>
      <xdr:col>38</xdr:col>
      <xdr:colOff>0</xdr:colOff>
      <xdr:row>61</xdr:row>
      <xdr:rowOff>0</xdr:rowOff>
    </xdr:to>
    <xdr:sp macro="" textlink="">
      <xdr:nvSpPr>
        <xdr:cNvPr id="32" name="Textfeld 117"/>
        <xdr:cNvSpPr txBox="1"/>
      </xdr:nvSpPr>
      <xdr:spPr>
        <a:xfrm>
          <a:off x="6488906" y="9203531"/>
          <a:ext cx="1809750" cy="5715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Vs / Reorg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Achse</a:t>
          </a:r>
        </a:p>
      </xdr:txBody>
    </xdr:sp>
    <xdr:clientData/>
  </xdr:twoCellAnchor>
  <xdr:twoCellAnchor>
    <xdr:from>
      <xdr:col>30</xdr:col>
      <xdr:colOff>0</xdr:colOff>
      <xdr:row>61</xdr:row>
      <xdr:rowOff>0</xdr:rowOff>
    </xdr:from>
    <xdr:to>
      <xdr:col>38</xdr:col>
      <xdr:colOff>0</xdr:colOff>
      <xdr:row>65</xdr:row>
      <xdr:rowOff>0</xdr:rowOff>
    </xdr:to>
    <xdr:sp macro="" textlink="">
      <xdr:nvSpPr>
        <xdr:cNvPr id="33" name="Textfeld 117"/>
        <xdr:cNvSpPr txBox="1"/>
      </xdr:nvSpPr>
      <xdr:spPr>
        <a:xfrm>
          <a:off x="6488906" y="9775031"/>
          <a:ext cx="1809750" cy="571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Eintrainieren Fahne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xy</a:t>
          </a:r>
        </a:p>
      </xdr:txBody>
    </xdr:sp>
    <xdr:clientData/>
  </xdr:twoCellAnchor>
  <xdr:twoCellAnchor>
    <xdr:from>
      <xdr:col>30</xdr:col>
      <xdr:colOff>0</xdr:colOff>
      <xdr:row>65</xdr:row>
      <xdr:rowOff>0</xdr:rowOff>
    </xdr:from>
    <xdr:to>
      <xdr:col>38</xdr:col>
      <xdr:colOff>0</xdr:colOff>
      <xdr:row>69</xdr:row>
      <xdr:rowOff>0</xdr:rowOff>
    </xdr:to>
    <xdr:sp macro="" textlink="">
      <xdr:nvSpPr>
        <xdr:cNvPr id="34" name="Textfeld 117"/>
        <xdr:cNvSpPr txBox="1"/>
      </xdr:nvSpPr>
      <xdr:spPr>
        <a:xfrm>
          <a:off x="6488906" y="10346531"/>
          <a:ext cx="1809750" cy="571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Fahnenabgabe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xy</a:t>
          </a:r>
        </a:p>
      </xdr:txBody>
    </xdr:sp>
    <xdr:clientData/>
  </xdr:twoCellAnchor>
  <xdr:twoCellAnchor>
    <xdr:from>
      <xdr:col>30</xdr:col>
      <xdr:colOff>1</xdr:colOff>
      <xdr:row>77</xdr:row>
      <xdr:rowOff>0</xdr:rowOff>
    </xdr:from>
    <xdr:to>
      <xdr:col>38</xdr:col>
      <xdr:colOff>1</xdr:colOff>
      <xdr:row>78</xdr:row>
      <xdr:rowOff>0</xdr:rowOff>
    </xdr:to>
    <xdr:sp macro="" textlink="">
      <xdr:nvSpPr>
        <xdr:cNvPr id="35" name="Textfeld 225"/>
        <xdr:cNvSpPr txBox="1"/>
      </xdr:nvSpPr>
      <xdr:spPr>
        <a:xfrm>
          <a:off x="6488907" y="1206103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30</xdr:col>
      <xdr:colOff>0</xdr:colOff>
      <xdr:row>74</xdr:row>
      <xdr:rowOff>0</xdr:rowOff>
    </xdr:from>
    <xdr:to>
      <xdr:col>38</xdr:col>
      <xdr:colOff>0</xdr:colOff>
      <xdr:row>76</xdr:row>
      <xdr:rowOff>0</xdr:rowOff>
    </xdr:to>
    <xdr:sp macro="" textlink="">
      <xdr:nvSpPr>
        <xdr:cNvPr id="36" name="Textfeld 225"/>
        <xdr:cNvSpPr txBox="1"/>
      </xdr:nvSpPr>
      <xdr:spPr>
        <a:xfrm>
          <a:off x="6488906" y="11632406"/>
          <a:ext cx="1809750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44</xdr:col>
      <xdr:colOff>1</xdr:colOff>
      <xdr:row>77</xdr:row>
      <xdr:rowOff>0</xdr:rowOff>
    </xdr:from>
    <xdr:to>
      <xdr:col>52</xdr:col>
      <xdr:colOff>1</xdr:colOff>
      <xdr:row>78</xdr:row>
      <xdr:rowOff>0</xdr:rowOff>
    </xdr:to>
    <xdr:sp macro="" textlink="">
      <xdr:nvSpPr>
        <xdr:cNvPr id="37" name="Textfeld 225"/>
        <xdr:cNvSpPr txBox="1"/>
      </xdr:nvSpPr>
      <xdr:spPr>
        <a:xfrm>
          <a:off x="9513095" y="1206103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44</xdr:col>
      <xdr:colOff>0</xdr:colOff>
      <xdr:row>74</xdr:row>
      <xdr:rowOff>0</xdr:rowOff>
    </xdr:from>
    <xdr:to>
      <xdr:col>52</xdr:col>
      <xdr:colOff>0</xdr:colOff>
      <xdr:row>76</xdr:row>
      <xdr:rowOff>0</xdr:rowOff>
    </xdr:to>
    <xdr:sp macro="" textlink="">
      <xdr:nvSpPr>
        <xdr:cNvPr id="38" name="Textfeld 225"/>
        <xdr:cNvSpPr txBox="1"/>
      </xdr:nvSpPr>
      <xdr:spPr>
        <a:xfrm>
          <a:off x="9513094" y="11632406"/>
          <a:ext cx="1809750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44</xdr:col>
      <xdr:colOff>0</xdr:colOff>
      <xdr:row>9</xdr:row>
      <xdr:rowOff>0</xdr:rowOff>
    </xdr:from>
    <xdr:to>
      <xdr:col>52</xdr:col>
      <xdr:colOff>2</xdr:colOff>
      <xdr:row>12</xdr:row>
      <xdr:rowOff>0</xdr:rowOff>
    </xdr:to>
    <xdr:sp macro="" textlink="">
      <xdr:nvSpPr>
        <xdr:cNvPr id="40" name="Textfeld 225"/>
        <xdr:cNvSpPr txBox="1"/>
      </xdr:nvSpPr>
      <xdr:spPr>
        <a:xfrm>
          <a:off x="9513094" y="2345531"/>
          <a:ext cx="1809752" cy="42862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44</xdr:col>
      <xdr:colOff>0</xdr:colOff>
      <xdr:row>13</xdr:row>
      <xdr:rowOff>0</xdr:rowOff>
    </xdr:from>
    <xdr:to>
      <xdr:col>52</xdr:col>
      <xdr:colOff>2</xdr:colOff>
      <xdr:row>14</xdr:row>
      <xdr:rowOff>0</xdr:rowOff>
    </xdr:to>
    <xdr:sp macro="" textlink="">
      <xdr:nvSpPr>
        <xdr:cNvPr id="41" name="Textfeld 225"/>
        <xdr:cNvSpPr txBox="1"/>
      </xdr:nvSpPr>
      <xdr:spPr>
        <a:xfrm>
          <a:off x="9513094" y="2917031"/>
          <a:ext cx="1809752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58</xdr:col>
      <xdr:colOff>0</xdr:colOff>
      <xdr:row>9</xdr:row>
      <xdr:rowOff>0</xdr:rowOff>
    </xdr:from>
    <xdr:to>
      <xdr:col>66</xdr:col>
      <xdr:colOff>2</xdr:colOff>
      <xdr:row>12</xdr:row>
      <xdr:rowOff>0</xdr:rowOff>
    </xdr:to>
    <xdr:sp macro="" textlink="">
      <xdr:nvSpPr>
        <xdr:cNvPr id="42" name="Textfeld 225"/>
        <xdr:cNvSpPr txBox="1"/>
      </xdr:nvSpPr>
      <xdr:spPr>
        <a:xfrm>
          <a:off x="12537281" y="2345531"/>
          <a:ext cx="1809752" cy="42862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58</xdr:col>
      <xdr:colOff>0</xdr:colOff>
      <xdr:row>13</xdr:row>
      <xdr:rowOff>0</xdr:rowOff>
    </xdr:from>
    <xdr:to>
      <xdr:col>66</xdr:col>
      <xdr:colOff>2</xdr:colOff>
      <xdr:row>14</xdr:row>
      <xdr:rowOff>0</xdr:rowOff>
    </xdr:to>
    <xdr:sp macro="" textlink="">
      <xdr:nvSpPr>
        <xdr:cNvPr id="43" name="Textfeld 225"/>
        <xdr:cNvSpPr txBox="1"/>
      </xdr:nvSpPr>
      <xdr:spPr>
        <a:xfrm>
          <a:off x="12537281" y="2917031"/>
          <a:ext cx="1809752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58</xdr:col>
      <xdr:colOff>1</xdr:colOff>
      <xdr:row>54</xdr:row>
      <xdr:rowOff>0</xdr:rowOff>
    </xdr:from>
    <xdr:to>
      <xdr:col>66</xdr:col>
      <xdr:colOff>0</xdr:colOff>
      <xdr:row>57</xdr:row>
      <xdr:rowOff>0</xdr:rowOff>
    </xdr:to>
    <xdr:sp macro="" textlink="">
      <xdr:nvSpPr>
        <xdr:cNvPr id="44" name="Text 693"/>
        <xdr:cNvSpPr txBox="1">
          <a:spLocks noChangeArrowheads="1"/>
        </xdr:cNvSpPr>
      </xdr:nvSpPr>
      <xdr:spPr bwMode="auto">
        <a:xfrm>
          <a:off x="12537282" y="8774906"/>
          <a:ext cx="1809749" cy="428625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Etlassung aus FDT 2019</a:t>
          </a:r>
        </a:p>
      </xdr:txBody>
    </xdr:sp>
    <xdr:clientData/>
  </xdr:twoCellAnchor>
  <xdr:twoCellAnchor>
    <xdr:from>
      <xdr:col>58</xdr:col>
      <xdr:colOff>0</xdr:colOff>
      <xdr:row>53</xdr:row>
      <xdr:rowOff>0</xdr:rowOff>
    </xdr:from>
    <xdr:to>
      <xdr:col>66</xdr:col>
      <xdr:colOff>0</xdr:colOff>
      <xdr:row>54</xdr:row>
      <xdr:rowOff>0</xdr:rowOff>
    </xdr:to>
    <xdr:sp macro="" textlink="">
      <xdr:nvSpPr>
        <xdr:cNvPr id="45" name="Textfeld 225"/>
        <xdr:cNvSpPr txBox="1"/>
      </xdr:nvSpPr>
      <xdr:spPr>
        <a:xfrm>
          <a:off x="12537281" y="863203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1700 - HV</a:t>
          </a:r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15</xdr:col>
      <xdr:colOff>0</xdr:colOff>
      <xdr:row>33</xdr:row>
      <xdr:rowOff>0</xdr:rowOff>
    </xdr:to>
    <xdr:sp macro="" textlink="">
      <xdr:nvSpPr>
        <xdr:cNvPr id="48" name="Textfeld 193"/>
        <xdr:cNvSpPr txBox="1"/>
      </xdr:nvSpPr>
      <xdr:spPr>
        <a:xfrm>
          <a:off x="2928938" y="4060031"/>
          <a:ext cx="476250" cy="171450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Bat Rap</a:t>
          </a:r>
        </a:p>
        <a:p>
          <a:pPr marL="0" indent="0" algn="ctr"/>
          <a:r>
            <a:rPr lang="en-US" sz="800" b="0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Stao Inf Kp 56/1</a:t>
          </a:r>
        </a:p>
      </xdr:txBody>
    </xdr:sp>
    <xdr:clientData/>
  </xdr:twoCellAnchor>
  <xdr:twoCellAnchor>
    <xdr:from>
      <xdr:col>56</xdr:col>
      <xdr:colOff>0</xdr:colOff>
      <xdr:row>63</xdr:row>
      <xdr:rowOff>0</xdr:rowOff>
    </xdr:from>
    <xdr:to>
      <xdr:col>57</xdr:col>
      <xdr:colOff>0</xdr:colOff>
      <xdr:row>71</xdr:row>
      <xdr:rowOff>0</xdr:rowOff>
    </xdr:to>
    <xdr:sp macro="" textlink="">
      <xdr:nvSpPr>
        <xdr:cNvPr id="49" name="Textfeld 193"/>
        <xdr:cNvSpPr txBox="1"/>
      </xdr:nvSpPr>
      <xdr:spPr>
        <a:xfrm>
          <a:off x="12498917" y="10350500"/>
          <a:ext cx="243416" cy="118533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40</a:t>
          </a:r>
        </a:p>
      </xdr:txBody>
    </xdr:sp>
    <xdr:clientData/>
  </xdr:twoCellAnchor>
  <xdr:twoCellAnchor>
    <xdr:from>
      <xdr:col>14</xdr:col>
      <xdr:colOff>0</xdr:colOff>
      <xdr:row>62</xdr:row>
      <xdr:rowOff>0</xdr:rowOff>
    </xdr:from>
    <xdr:to>
      <xdr:col>15</xdr:col>
      <xdr:colOff>3501</xdr:colOff>
      <xdr:row>63</xdr:row>
      <xdr:rowOff>140073</xdr:rowOff>
    </xdr:to>
    <xdr:sp macro="" textlink="">
      <xdr:nvSpPr>
        <xdr:cNvPr id="51" name="Textfeld 193"/>
        <xdr:cNvSpPr txBox="1"/>
      </xdr:nvSpPr>
      <xdr:spPr>
        <a:xfrm>
          <a:off x="3155156" y="9917906"/>
          <a:ext cx="253533" cy="282948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DR</a:t>
          </a:r>
        </a:p>
      </xdr:txBody>
    </xdr:sp>
    <xdr:clientData/>
  </xdr:twoCellAnchor>
  <xdr:twoCellAnchor>
    <xdr:from>
      <xdr:col>27</xdr:col>
      <xdr:colOff>226218</xdr:colOff>
      <xdr:row>9</xdr:row>
      <xdr:rowOff>0</xdr:rowOff>
    </xdr:from>
    <xdr:to>
      <xdr:col>29</xdr:col>
      <xdr:colOff>0</xdr:colOff>
      <xdr:row>11</xdr:row>
      <xdr:rowOff>0</xdr:rowOff>
    </xdr:to>
    <xdr:sp macro="" textlink="">
      <xdr:nvSpPr>
        <xdr:cNvPr id="52" name="Textfeld 193"/>
        <xdr:cNvSpPr txBox="1"/>
      </xdr:nvSpPr>
      <xdr:spPr>
        <a:xfrm>
          <a:off x="6179343" y="2345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56</xdr:col>
      <xdr:colOff>0</xdr:colOff>
      <xdr:row>9</xdr:row>
      <xdr:rowOff>0</xdr:rowOff>
    </xdr:from>
    <xdr:to>
      <xdr:col>57</xdr:col>
      <xdr:colOff>1</xdr:colOff>
      <xdr:row>11</xdr:row>
      <xdr:rowOff>0</xdr:rowOff>
    </xdr:to>
    <xdr:sp macro="" textlink="">
      <xdr:nvSpPr>
        <xdr:cNvPr id="53" name="Textfeld 193"/>
        <xdr:cNvSpPr txBox="1"/>
      </xdr:nvSpPr>
      <xdr:spPr>
        <a:xfrm>
          <a:off x="12227719" y="2345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70</xdr:col>
      <xdr:colOff>0</xdr:colOff>
      <xdr:row>9</xdr:row>
      <xdr:rowOff>0</xdr:rowOff>
    </xdr:from>
    <xdr:to>
      <xdr:col>71</xdr:col>
      <xdr:colOff>0</xdr:colOff>
      <xdr:row>11</xdr:row>
      <xdr:rowOff>0</xdr:rowOff>
    </xdr:to>
    <xdr:sp macro="" textlink="">
      <xdr:nvSpPr>
        <xdr:cNvPr id="54" name="Textfeld 193"/>
        <xdr:cNvSpPr txBox="1"/>
      </xdr:nvSpPr>
      <xdr:spPr>
        <a:xfrm>
          <a:off x="15251906" y="2345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56</xdr:col>
      <xdr:colOff>0</xdr:colOff>
      <xdr:row>25</xdr:row>
      <xdr:rowOff>0</xdr:rowOff>
    </xdr:from>
    <xdr:to>
      <xdr:col>57</xdr:col>
      <xdr:colOff>0</xdr:colOff>
      <xdr:row>26</xdr:row>
      <xdr:rowOff>140073</xdr:rowOff>
    </xdr:to>
    <xdr:sp macro="" textlink="">
      <xdr:nvSpPr>
        <xdr:cNvPr id="55" name="Textfeld 193"/>
        <xdr:cNvSpPr txBox="1"/>
      </xdr:nvSpPr>
      <xdr:spPr>
        <a:xfrm>
          <a:off x="12436929" y="4626429"/>
          <a:ext cx="244928" cy="282948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DR</a:t>
          </a:r>
        </a:p>
      </xdr:txBody>
    </xdr:sp>
    <xdr:clientData/>
  </xdr:twoCellAnchor>
  <xdr:twoCellAnchor>
    <xdr:from>
      <xdr:col>58</xdr:col>
      <xdr:colOff>0</xdr:colOff>
      <xdr:row>50</xdr:row>
      <xdr:rowOff>0</xdr:rowOff>
    </xdr:from>
    <xdr:to>
      <xdr:col>66</xdr:col>
      <xdr:colOff>0</xdr:colOff>
      <xdr:row>52</xdr:row>
      <xdr:rowOff>0</xdr:rowOff>
    </xdr:to>
    <xdr:sp macro="" textlink="">
      <xdr:nvSpPr>
        <xdr:cNvPr id="57" name="Textfeld 117"/>
        <xdr:cNvSpPr txBox="1"/>
      </xdr:nvSpPr>
      <xdr:spPr>
        <a:xfrm>
          <a:off x="12537281" y="8203406"/>
          <a:ext cx="1809750" cy="28575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Rück- und Ausblick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gem Bf</a:t>
          </a:r>
        </a:p>
      </xdr:txBody>
    </xdr:sp>
    <xdr:clientData/>
  </xdr:twoCellAnchor>
  <xdr:twoCellAnchor>
    <xdr:from>
      <xdr:col>58</xdr:col>
      <xdr:colOff>0</xdr:colOff>
      <xdr:row>7</xdr:row>
      <xdr:rowOff>0</xdr:rowOff>
    </xdr:from>
    <xdr:to>
      <xdr:col>66</xdr:col>
      <xdr:colOff>0</xdr:colOff>
      <xdr:row>8</xdr:row>
      <xdr:rowOff>0</xdr:rowOff>
    </xdr:to>
    <xdr:sp macro="" textlink="">
      <xdr:nvSpPr>
        <xdr:cNvPr id="59" name="Textfeld 225"/>
        <xdr:cNvSpPr txBox="1"/>
      </xdr:nvSpPr>
      <xdr:spPr>
        <a:xfrm>
          <a:off x="12537281" y="205978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8</xdr:col>
      <xdr:colOff>0</xdr:colOff>
      <xdr:row>6</xdr:row>
      <xdr:rowOff>892966</xdr:rowOff>
    </xdr:from>
    <xdr:to>
      <xdr:col>10</xdr:col>
      <xdr:colOff>1</xdr:colOff>
      <xdr:row>68</xdr:row>
      <xdr:rowOff>142874</xdr:rowOff>
    </xdr:to>
    <xdr:sp macro="" textlink="">
      <xdr:nvSpPr>
        <xdr:cNvPr id="61" name="Textfeld 117"/>
        <xdr:cNvSpPr txBox="1"/>
      </xdr:nvSpPr>
      <xdr:spPr>
        <a:xfrm>
          <a:off x="1797844" y="2059779"/>
          <a:ext cx="452438" cy="8858251"/>
        </a:xfrm>
        <a:prstGeom prst="rect">
          <a:avLst/>
        </a:prstGeom>
        <a:solidFill>
          <a:srgbClr val="FFC0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Urlaub</a:t>
          </a:r>
        </a:p>
      </xdr:txBody>
    </xdr:sp>
    <xdr:clientData/>
  </xdr:twoCellAnchor>
  <xdr:twoCellAnchor>
    <xdr:from>
      <xdr:col>3</xdr:col>
      <xdr:colOff>226218</xdr:colOff>
      <xdr:row>13</xdr:row>
      <xdr:rowOff>0</xdr:rowOff>
    </xdr:from>
    <xdr:to>
      <xdr:col>7</xdr:col>
      <xdr:colOff>226218</xdr:colOff>
      <xdr:row>69</xdr:row>
      <xdr:rowOff>0</xdr:rowOff>
    </xdr:to>
    <xdr:sp macro="" textlink="">
      <xdr:nvSpPr>
        <xdr:cNvPr id="62" name="Textfeld 117"/>
        <xdr:cNvSpPr txBox="1"/>
      </xdr:nvSpPr>
      <xdr:spPr>
        <a:xfrm>
          <a:off x="892968" y="2917031"/>
          <a:ext cx="904875" cy="8001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Einsatz OPFOR z G CONEX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xy</a:t>
          </a:r>
        </a:p>
      </xdr:txBody>
    </xdr:sp>
    <xdr:clientData/>
  </xdr:twoCellAnchor>
  <xdr:twoCellAnchor>
    <xdr:from>
      <xdr:col>44</xdr:col>
      <xdr:colOff>0</xdr:colOff>
      <xdr:row>7</xdr:row>
      <xdr:rowOff>0</xdr:rowOff>
    </xdr:from>
    <xdr:to>
      <xdr:col>52</xdr:col>
      <xdr:colOff>0</xdr:colOff>
      <xdr:row>8</xdr:row>
      <xdr:rowOff>0</xdr:rowOff>
    </xdr:to>
    <xdr:sp macro="" textlink="">
      <xdr:nvSpPr>
        <xdr:cNvPr id="63" name="Textfeld 225"/>
        <xdr:cNvSpPr txBox="1"/>
      </xdr:nvSpPr>
      <xdr:spPr>
        <a:xfrm>
          <a:off x="9513094" y="205978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10</xdr:col>
      <xdr:colOff>0</xdr:colOff>
      <xdr:row>12</xdr:row>
      <xdr:rowOff>0</xdr:rowOff>
    </xdr:to>
    <xdr:sp macro="" textlink="">
      <xdr:nvSpPr>
        <xdr:cNvPr id="65" name="Textfeld 225"/>
        <xdr:cNvSpPr txBox="1"/>
      </xdr:nvSpPr>
      <xdr:spPr>
        <a:xfrm>
          <a:off x="440531" y="2345531"/>
          <a:ext cx="1809750" cy="42862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2</xdr:col>
      <xdr:colOff>0</xdr:colOff>
      <xdr:row>13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66" name="Textfeld 225"/>
        <xdr:cNvSpPr txBox="1"/>
      </xdr:nvSpPr>
      <xdr:spPr>
        <a:xfrm>
          <a:off x="440531" y="291703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15</xdr:col>
      <xdr:colOff>59530</xdr:colOff>
      <xdr:row>9</xdr:row>
      <xdr:rowOff>0</xdr:rowOff>
    </xdr:from>
    <xdr:to>
      <xdr:col>24</xdr:col>
      <xdr:colOff>1</xdr:colOff>
      <xdr:row>12</xdr:row>
      <xdr:rowOff>0</xdr:rowOff>
    </xdr:to>
    <xdr:sp macro="" textlink="">
      <xdr:nvSpPr>
        <xdr:cNvPr id="67" name="Textfeld 225"/>
        <xdr:cNvSpPr txBox="1"/>
      </xdr:nvSpPr>
      <xdr:spPr>
        <a:xfrm>
          <a:off x="3464718" y="2345531"/>
          <a:ext cx="1809752" cy="42862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15</xdr:col>
      <xdr:colOff>59530</xdr:colOff>
      <xdr:row>13</xdr:row>
      <xdr:rowOff>0</xdr:rowOff>
    </xdr:from>
    <xdr:to>
      <xdr:col>24</xdr:col>
      <xdr:colOff>1</xdr:colOff>
      <xdr:row>14</xdr:row>
      <xdr:rowOff>0</xdr:rowOff>
    </xdr:to>
    <xdr:sp macro="" textlink="">
      <xdr:nvSpPr>
        <xdr:cNvPr id="68" name="Textfeld 225"/>
        <xdr:cNvSpPr txBox="1"/>
      </xdr:nvSpPr>
      <xdr:spPr>
        <a:xfrm>
          <a:off x="3464718" y="2917031"/>
          <a:ext cx="1809752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15</xdr:col>
      <xdr:colOff>59530</xdr:colOff>
      <xdr:row>7</xdr:row>
      <xdr:rowOff>0</xdr:rowOff>
    </xdr:from>
    <xdr:to>
      <xdr:col>23</xdr:col>
      <xdr:colOff>226218</xdr:colOff>
      <xdr:row>8</xdr:row>
      <xdr:rowOff>0</xdr:rowOff>
    </xdr:to>
    <xdr:sp macro="" textlink="">
      <xdr:nvSpPr>
        <xdr:cNvPr id="69" name="Textfeld 225"/>
        <xdr:cNvSpPr txBox="1"/>
      </xdr:nvSpPr>
      <xdr:spPr>
        <a:xfrm>
          <a:off x="3464718" y="205978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2</xdr:col>
      <xdr:colOff>0</xdr:colOff>
      <xdr:row>7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70" name="Textfeld 225"/>
        <xdr:cNvSpPr txBox="1"/>
      </xdr:nvSpPr>
      <xdr:spPr>
        <a:xfrm>
          <a:off x="440531" y="205978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30</xdr:col>
      <xdr:colOff>0</xdr:colOff>
      <xdr:row>9</xdr:row>
      <xdr:rowOff>0</xdr:rowOff>
    </xdr:from>
    <xdr:to>
      <xdr:col>38</xdr:col>
      <xdr:colOff>2</xdr:colOff>
      <xdr:row>12</xdr:row>
      <xdr:rowOff>0</xdr:rowOff>
    </xdr:to>
    <xdr:sp macro="" textlink="">
      <xdr:nvSpPr>
        <xdr:cNvPr id="71" name="Textfeld 225"/>
        <xdr:cNvSpPr txBox="1"/>
      </xdr:nvSpPr>
      <xdr:spPr>
        <a:xfrm>
          <a:off x="6488906" y="2345531"/>
          <a:ext cx="1809752" cy="428625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Frühstück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30</xdr:col>
      <xdr:colOff>0</xdr:colOff>
      <xdr:row>13</xdr:row>
      <xdr:rowOff>0</xdr:rowOff>
    </xdr:from>
    <xdr:to>
      <xdr:col>38</xdr:col>
      <xdr:colOff>2</xdr:colOff>
      <xdr:row>14</xdr:row>
      <xdr:rowOff>0</xdr:rowOff>
    </xdr:to>
    <xdr:sp macro="" textlink="">
      <xdr:nvSpPr>
        <xdr:cNvPr id="72" name="Textfeld 225"/>
        <xdr:cNvSpPr txBox="1"/>
      </xdr:nvSpPr>
      <xdr:spPr>
        <a:xfrm>
          <a:off x="6488906" y="2917031"/>
          <a:ext cx="1809752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0700 - AV</a:t>
          </a:r>
        </a:p>
      </xdr:txBody>
    </xdr:sp>
    <xdr:clientData/>
  </xdr:twoCellAnchor>
  <xdr:twoCellAnchor>
    <xdr:from>
      <xdr:col>30</xdr:col>
      <xdr:colOff>0</xdr:colOff>
      <xdr:row>7</xdr:row>
      <xdr:rowOff>0</xdr:rowOff>
    </xdr:from>
    <xdr:to>
      <xdr:col>38</xdr:col>
      <xdr:colOff>0</xdr:colOff>
      <xdr:row>8</xdr:row>
      <xdr:rowOff>0</xdr:rowOff>
    </xdr:to>
    <xdr:sp macro="" textlink="">
      <xdr:nvSpPr>
        <xdr:cNvPr id="73" name="Textfeld 225"/>
        <xdr:cNvSpPr txBox="1"/>
      </xdr:nvSpPr>
      <xdr:spPr>
        <a:xfrm>
          <a:off x="6488906" y="205978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0530 Tagwache</a:t>
          </a:r>
        </a:p>
      </xdr:txBody>
    </xdr:sp>
    <xdr:clientData/>
  </xdr:twoCellAnchor>
  <xdr:twoCellAnchor>
    <xdr:from>
      <xdr:col>16</xdr:col>
      <xdr:colOff>0</xdr:colOff>
      <xdr:row>57</xdr:row>
      <xdr:rowOff>0</xdr:rowOff>
    </xdr:from>
    <xdr:to>
      <xdr:col>24</xdr:col>
      <xdr:colOff>0</xdr:colOff>
      <xdr:row>73</xdr:row>
      <xdr:rowOff>0</xdr:rowOff>
    </xdr:to>
    <xdr:sp macro="" textlink="">
      <xdr:nvSpPr>
        <xdr:cNvPr id="74" name="Textfeld 117"/>
        <xdr:cNvSpPr txBox="1"/>
      </xdr:nvSpPr>
      <xdr:spPr>
        <a:xfrm>
          <a:off x="3464719" y="9203531"/>
          <a:ext cx="1809750" cy="2286000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Kp Abend</a:t>
          </a:r>
        </a:p>
      </xdr:txBody>
    </xdr:sp>
    <xdr:clientData/>
  </xdr:twoCellAnchor>
  <xdr:twoCellAnchor>
    <xdr:from>
      <xdr:col>22</xdr:col>
      <xdr:colOff>1</xdr:colOff>
      <xdr:row>15</xdr:row>
      <xdr:rowOff>0</xdr:rowOff>
    </xdr:from>
    <xdr:to>
      <xdr:col>24</xdr:col>
      <xdr:colOff>1</xdr:colOff>
      <xdr:row>33</xdr:row>
      <xdr:rowOff>0</xdr:rowOff>
    </xdr:to>
    <xdr:sp macro="" textlink="">
      <xdr:nvSpPr>
        <xdr:cNvPr id="75" name="Textfeld 117"/>
        <xdr:cNvSpPr txBox="1"/>
      </xdr:nvSpPr>
      <xdr:spPr>
        <a:xfrm>
          <a:off x="4822032" y="3202781"/>
          <a:ext cx="452438" cy="2571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Gr Gef S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Überfallartige Aktionen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Hintere Schmidenmatt</a:t>
          </a:r>
        </a:p>
      </xdr:txBody>
    </xdr:sp>
    <xdr:clientData/>
  </xdr:twoCellAnchor>
  <xdr:twoCellAnchor>
    <xdr:from>
      <xdr:col>2</xdr:col>
      <xdr:colOff>0</xdr:colOff>
      <xdr:row>13</xdr:row>
      <xdr:rowOff>142870</xdr:rowOff>
    </xdr:from>
    <xdr:to>
      <xdr:col>4</xdr:col>
      <xdr:colOff>0</xdr:colOff>
      <xdr:row>69</xdr:row>
      <xdr:rowOff>0</xdr:rowOff>
    </xdr:to>
    <xdr:sp macro="" textlink="">
      <xdr:nvSpPr>
        <xdr:cNvPr id="76" name="Text 693"/>
        <xdr:cNvSpPr txBox="1">
          <a:spLocks noChangeArrowheads="1"/>
        </xdr:cNvSpPr>
      </xdr:nvSpPr>
      <xdr:spPr bwMode="auto">
        <a:xfrm flipV="1">
          <a:off x="440531" y="3059901"/>
          <a:ext cx="452438" cy="7858130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 / Ausb Pers Wf</a:t>
          </a:r>
        </a:p>
      </xdr:txBody>
    </xdr:sp>
    <xdr:clientData/>
  </xdr:twoCellAnchor>
  <xdr:twoCellAnchor>
    <xdr:from>
      <xdr:col>2</xdr:col>
      <xdr:colOff>0</xdr:colOff>
      <xdr:row>76</xdr:row>
      <xdr:rowOff>139211</xdr:rowOff>
    </xdr:from>
    <xdr:to>
      <xdr:col>10</xdr:col>
      <xdr:colOff>0</xdr:colOff>
      <xdr:row>78</xdr:row>
      <xdr:rowOff>0</xdr:rowOff>
    </xdr:to>
    <xdr:sp macro="" textlink="">
      <xdr:nvSpPr>
        <xdr:cNvPr id="83" name="Textfeld 225"/>
        <xdr:cNvSpPr txBox="1"/>
      </xdr:nvSpPr>
      <xdr:spPr>
        <a:xfrm>
          <a:off x="440531" y="12057367"/>
          <a:ext cx="1809750" cy="146539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16</xdr:col>
      <xdr:colOff>0</xdr:colOff>
      <xdr:row>79</xdr:row>
      <xdr:rowOff>0</xdr:rowOff>
    </xdr:from>
    <xdr:to>
      <xdr:col>24</xdr:col>
      <xdr:colOff>0</xdr:colOff>
      <xdr:row>80</xdr:row>
      <xdr:rowOff>0</xdr:rowOff>
    </xdr:to>
    <xdr:sp macro="" textlink="">
      <xdr:nvSpPr>
        <xdr:cNvPr id="84" name="Textfeld 225"/>
        <xdr:cNvSpPr txBox="1"/>
      </xdr:nvSpPr>
      <xdr:spPr>
        <a:xfrm>
          <a:off x="3464719" y="12346781"/>
          <a:ext cx="1809750" cy="14287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2330 - ABV</a:t>
          </a:r>
        </a:p>
      </xdr:txBody>
    </xdr:sp>
    <xdr:clientData/>
  </xdr:twoCellAnchor>
  <xdr:twoCellAnchor>
    <xdr:from>
      <xdr:col>2</xdr:col>
      <xdr:colOff>0</xdr:colOff>
      <xdr:row>72</xdr:row>
      <xdr:rowOff>135548</xdr:rowOff>
    </xdr:from>
    <xdr:to>
      <xdr:col>10</xdr:col>
      <xdr:colOff>0</xdr:colOff>
      <xdr:row>75</xdr:row>
      <xdr:rowOff>0</xdr:rowOff>
    </xdr:to>
    <xdr:sp macro="" textlink="">
      <xdr:nvSpPr>
        <xdr:cNvPr id="86" name="Textfeld 225"/>
        <xdr:cNvSpPr txBox="1"/>
      </xdr:nvSpPr>
      <xdr:spPr>
        <a:xfrm>
          <a:off x="440531" y="11482204"/>
          <a:ext cx="1809750" cy="293077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16</xdr:col>
      <xdr:colOff>0</xdr:colOff>
      <xdr:row>75</xdr:row>
      <xdr:rowOff>0</xdr:rowOff>
    </xdr:from>
    <xdr:to>
      <xdr:col>24</xdr:col>
      <xdr:colOff>0</xdr:colOff>
      <xdr:row>77</xdr:row>
      <xdr:rowOff>0</xdr:rowOff>
    </xdr:to>
    <xdr:sp macro="" textlink="">
      <xdr:nvSpPr>
        <xdr:cNvPr id="87" name="Textfeld 225"/>
        <xdr:cNvSpPr txBox="1"/>
      </xdr:nvSpPr>
      <xdr:spPr>
        <a:xfrm>
          <a:off x="3464719" y="11775281"/>
          <a:ext cx="1809750" cy="28575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ID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14</xdr:col>
      <xdr:colOff>0</xdr:colOff>
      <xdr:row>9</xdr:row>
      <xdr:rowOff>0</xdr:rowOff>
    </xdr:from>
    <xdr:to>
      <xdr:col>15</xdr:col>
      <xdr:colOff>0</xdr:colOff>
      <xdr:row>11</xdr:row>
      <xdr:rowOff>0</xdr:rowOff>
    </xdr:to>
    <xdr:sp macro="" textlink="">
      <xdr:nvSpPr>
        <xdr:cNvPr id="91" name="Textfeld 193"/>
        <xdr:cNvSpPr txBox="1"/>
      </xdr:nvSpPr>
      <xdr:spPr>
        <a:xfrm>
          <a:off x="3155156" y="2345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42</xdr:col>
      <xdr:colOff>0</xdr:colOff>
      <xdr:row>9</xdr:row>
      <xdr:rowOff>0</xdr:rowOff>
    </xdr:from>
    <xdr:to>
      <xdr:col>43</xdr:col>
      <xdr:colOff>0</xdr:colOff>
      <xdr:row>11</xdr:row>
      <xdr:rowOff>0</xdr:rowOff>
    </xdr:to>
    <xdr:sp macro="" textlink="">
      <xdr:nvSpPr>
        <xdr:cNvPr id="92" name="Textfeld 193"/>
        <xdr:cNvSpPr txBox="1"/>
      </xdr:nvSpPr>
      <xdr:spPr>
        <a:xfrm>
          <a:off x="9203531" y="234553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30</xdr:col>
      <xdr:colOff>0</xdr:colOff>
      <xdr:row>14</xdr:row>
      <xdr:rowOff>142874</xdr:rowOff>
    </xdr:from>
    <xdr:to>
      <xdr:col>38</xdr:col>
      <xdr:colOff>0</xdr:colOff>
      <xdr:row>32</xdr:row>
      <xdr:rowOff>0</xdr:rowOff>
    </xdr:to>
    <xdr:sp macro="" textlink="">
      <xdr:nvSpPr>
        <xdr:cNvPr id="93" name="Textfeld 117"/>
        <xdr:cNvSpPr txBox="1"/>
      </xdr:nvSpPr>
      <xdr:spPr>
        <a:xfrm>
          <a:off x="6488906" y="3202780"/>
          <a:ext cx="1809750" cy="2428876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FTA 5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Härkingen</a:t>
          </a:r>
        </a:p>
        <a:p>
          <a:pPr marL="0" indent="0" algn="ctr" rtl="0">
            <a:defRPr sz="1000"/>
          </a:pP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FF0000"/>
              </a:solidFill>
              <a:latin typeface="Arial"/>
              <a:ea typeface="+mn-ea"/>
              <a:cs typeface="Arial"/>
            </a:rPr>
            <a:t>Restprogramm</a:t>
          </a:r>
        </a:p>
      </xdr:txBody>
    </xdr:sp>
    <xdr:clientData/>
  </xdr:twoCellAnchor>
  <xdr:twoCellAnchor>
    <xdr:from>
      <xdr:col>30</xdr:col>
      <xdr:colOff>1</xdr:colOff>
      <xdr:row>33</xdr:row>
      <xdr:rowOff>0</xdr:rowOff>
    </xdr:from>
    <xdr:to>
      <xdr:col>38</xdr:col>
      <xdr:colOff>1</xdr:colOff>
      <xdr:row>37</xdr:row>
      <xdr:rowOff>0</xdr:rowOff>
    </xdr:to>
    <xdr:sp macro="" textlink="">
      <xdr:nvSpPr>
        <xdr:cNvPr id="95" name="Textfeld 225"/>
        <xdr:cNvSpPr txBox="1"/>
      </xdr:nvSpPr>
      <xdr:spPr>
        <a:xfrm>
          <a:off x="6488907" y="5774531"/>
          <a:ext cx="1809750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Mittagessen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Ukft</a:t>
          </a:r>
        </a:p>
      </xdr:txBody>
    </xdr:sp>
    <xdr:clientData/>
  </xdr:twoCellAnchor>
  <xdr:twoCellAnchor>
    <xdr:from>
      <xdr:col>14</xdr:col>
      <xdr:colOff>0</xdr:colOff>
      <xdr:row>45</xdr:row>
      <xdr:rowOff>0</xdr:rowOff>
    </xdr:from>
    <xdr:to>
      <xdr:col>15</xdr:col>
      <xdr:colOff>0</xdr:colOff>
      <xdr:row>49</xdr:row>
      <xdr:rowOff>0</xdr:rowOff>
    </xdr:to>
    <xdr:sp macro="" textlink="">
      <xdr:nvSpPr>
        <xdr:cNvPr id="97" name="Textfeld 193"/>
        <xdr:cNvSpPr txBox="1"/>
      </xdr:nvSpPr>
      <xdr:spPr>
        <a:xfrm>
          <a:off x="3155156" y="7489031"/>
          <a:ext cx="250032" cy="571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10</a:t>
          </a:r>
        </a:p>
      </xdr:txBody>
    </xdr:sp>
    <xdr:clientData/>
  </xdr:twoCellAnchor>
  <xdr:twoCellAnchor>
    <xdr:from>
      <xdr:col>28</xdr:col>
      <xdr:colOff>0</xdr:colOff>
      <xdr:row>27</xdr:row>
      <xdr:rowOff>0</xdr:rowOff>
    </xdr:from>
    <xdr:to>
      <xdr:col>29</xdr:col>
      <xdr:colOff>0</xdr:colOff>
      <xdr:row>42</xdr:row>
      <xdr:rowOff>0</xdr:rowOff>
    </xdr:to>
    <xdr:sp macro="" textlink="">
      <xdr:nvSpPr>
        <xdr:cNvPr id="98" name="Textfeld 193"/>
        <xdr:cNvSpPr txBox="1"/>
      </xdr:nvSpPr>
      <xdr:spPr>
        <a:xfrm>
          <a:off x="6179344" y="4917281"/>
          <a:ext cx="250031" cy="21431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40</a:t>
          </a:r>
        </a:p>
      </xdr:txBody>
    </xdr:sp>
    <xdr:clientData/>
  </xdr:twoCellAnchor>
  <xdr:twoCellAnchor>
    <xdr:from>
      <xdr:col>70</xdr:col>
      <xdr:colOff>0</xdr:colOff>
      <xdr:row>51</xdr:row>
      <xdr:rowOff>0</xdr:rowOff>
    </xdr:from>
    <xdr:to>
      <xdr:col>71</xdr:col>
      <xdr:colOff>0</xdr:colOff>
      <xdr:row>61</xdr:row>
      <xdr:rowOff>0</xdr:rowOff>
    </xdr:to>
    <xdr:sp macro="" textlink="">
      <xdr:nvSpPr>
        <xdr:cNvPr id="99" name="Textfeld 193"/>
        <xdr:cNvSpPr txBox="1"/>
      </xdr:nvSpPr>
      <xdr:spPr>
        <a:xfrm>
          <a:off x="15251906" y="8346281"/>
          <a:ext cx="250032" cy="14287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50</a:t>
          </a:r>
        </a:p>
      </xdr:txBody>
    </xdr:sp>
    <xdr:clientData/>
  </xdr:twoCellAnchor>
  <xdr:twoCellAnchor>
    <xdr:from>
      <xdr:col>17</xdr:col>
      <xdr:colOff>223837</xdr:colOff>
      <xdr:row>15</xdr:row>
      <xdr:rowOff>0</xdr:rowOff>
    </xdr:from>
    <xdr:to>
      <xdr:col>22</xdr:col>
      <xdr:colOff>0</xdr:colOff>
      <xdr:row>33</xdr:row>
      <xdr:rowOff>0</xdr:rowOff>
    </xdr:to>
    <xdr:sp macro="" textlink="">
      <xdr:nvSpPr>
        <xdr:cNvPr id="100" name="Textfeld 117"/>
        <xdr:cNvSpPr txBox="1"/>
      </xdr:nvSpPr>
      <xdr:spPr>
        <a:xfrm>
          <a:off x="3914775" y="3202781"/>
          <a:ext cx="907256" cy="25717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Gr Gef S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Überfallartige Aktionen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Vordere Schmidenmatt</a:t>
          </a:r>
        </a:p>
      </xdr:txBody>
    </xdr:sp>
    <xdr:clientData/>
  </xdr:twoCellAnchor>
  <xdr:twoCellAnchor>
    <xdr:from>
      <xdr:col>30</xdr:col>
      <xdr:colOff>0</xdr:colOff>
      <xdr:row>69</xdr:row>
      <xdr:rowOff>0</xdr:rowOff>
    </xdr:from>
    <xdr:to>
      <xdr:col>38</xdr:col>
      <xdr:colOff>0</xdr:colOff>
      <xdr:row>73</xdr:row>
      <xdr:rowOff>0</xdr:rowOff>
    </xdr:to>
    <xdr:sp macro="" textlink="">
      <xdr:nvSpPr>
        <xdr:cNvPr id="58" name="Textfeld 225"/>
        <xdr:cNvSpPr txBox="1"/>
      </xdr:nvSpPr>
      <xdr:spPr>
        <a:xfrm>
          <a:off x="6488906" y="10918031"/>
          <a:ext cx="1809750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Reorg, Vs</a:t>
          </a:r>
        </a:p>
        <a:p>
          <a:pPr algn="ctr"/>
          <a:r>
            <a:rPr lang="de-CH" sz="900" b="0" i="0" u="none">
              <a:solidFill>
                <a:sysClr val="windowText" lastClr="000000"/>
              </a:solidFill>
              <a:latin typeface="Arial"/>
            </a:rPr>
            <a:t>Achse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2</xdr:col>
      <xdr:colOff>0</xdr:colOff>
      <xdr:row>69</xdr:row>
      <xdr:rowOff>0</xdr:rowOff>
    </xdr:from>
    <xdr:to>
      <xdr:col>10</xdr:col>
      <xdr:colOff>0</xdr:colOff>
      <xdr:row>73</xdr:row>
      <xdr:rowOff>0</xdr:rowOff>
    </xdr:to>
    <xdr:sp macro="" textlink="">
      <xdr:nvSpPr>
        <xdr:cNvPr id="64" name="Textfeld 225"/>
        <xdr:cNvSpPr txBox="1"/>
      </xdr:nvSpPr>
      <xdr:spPr>
        <a:xfrm>
          <a:off x="440531" y="10918031"/>
          <a:ext cx="1809750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Reorg, Vs</a:t>
          </a:r>
        </a:p>
        <a:p>
          <a:pPr algn="ctr"/>
          <a:r>
            <a:rPr lang="de-CH" sz="900" b="0" i="0" u="none">
              <a:solidFill>
                <a:sysClr val="windowText" lastClr="000000"/>
              </a:solidFill>
              <a:latin typeface="Arial"/>
            </a:rPr>
            <a:t>Achse</a:t>
          </a:r>
          <a:endParaRPr lang="de-CH" sz="800" b="0" i="0" u="none">
            <a:solidFill>
              <a:sysClr val="windowText" lastClr="000000"/>
            </a:solidFill>
            <a:latin typeface="Arial"/>
          </a:endParaRPr>
        </a:p>
      </xdr:txBody>
    </xdr:sp>
    <xdr:clientData/>
  </xdr:twoCellAnchor>
  <xdr:twoCellAnchor>
    <xdr:from>
      <xdr:col>12</xdr:col>
      <xdr:colOff>119063</xdr:colOff>
      <xdr:row>17</xdr:row>
      <xdr:rowOff>23813</xdr:rowOff>
    </xdr:from>
    <xdr:to>
      <xdr:col>13</xdr:col>
      <xdr:colOff>131275</xdr:colOff>
      <xdr:row>19</xdr:row>
      <xdr:rowOff>23813</xdr:rowOff>
    </xdr:to>
    <xdr:sp macro="" textlink="">
      <xdr:nvSpPr>
        <xdr:cNvPr id="77" name="Textfeld 193"/>
        <xdr:cNvSpPr txBox="1"/>
      </xdr:nvSpPr>
      <xdr:spPr>
        <a:xfrm>
          <a:off x="2821782" y="3512344"/>
          <a:ext cx="238431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W</a:t>
          </a:r>
        </a:p>
      </xdr:txBody>
    </xdr:sp>
    <xdr:clientData/>
  </xdr:twoCellAnchor>
  <xdr:twoCellAnchor>
    <xdr:from>
      <xdr:col>16</xdr:col>
      <xdr:colOff>1</xdr:colOff>
      <xdr:row>33</xdr:row>
      <xdr:rowOff>0</xdr:rowOff>
    </xdr:from>
    <xdr:to>
      <xdr:col>24</xdr:col>
      <xdr:colOff>1</xdr:colOff>
      <xdr:row>37</xdr:row>
      <xdr:rowOff>0</xdr:rowOff>
    </xdr:to>
    <xdr:sp macro="" textlink="">
      <xdr:nvSpPr>
        <xdr:cNvPr id="78" name="Textfeld 225"/>
        <xdr:cNvSpPr txBox="1"/>
      </xdr:nvSpPr>
      <xdr:spPr>
        <a:xfrm>
          <a:off x="3464720" y="5774531"/>
          <a:ext cx="1809750" cy="571500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Mittagessen 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Gel / Ukft</a:t>
          </a:r>
        </a:p>
      </xdr:txBody>
    </xdr:sp>
    <xdr:clientData/>
  </xdr:twoCellAnchor>
  <xdr:twoCellAnchor>
    <xdr:from>
      <xdr:col>22</xdr:col>
      <xdr:colOff>2382</xdr:colOff>
      <xdr:row>37</xdr:row>
      <xdr:rowOff>0</xdr:rowOff>
    </xdr:from>
    <xdr:to>
      <xdr:col>24</xdr:col>
      <xdr:colOff>2382</xdr:colOff>
      <xdr:row>57</xdr:row>
      <xdr:rowOff>0</xdr:rowOff>
    </xdr:to>
    <xdr:sp macro="" textlink="">
      <xdr:nvSpPr>
        <xdr:cNvPr id="79" name="Textfeld 117"/>
        <xdr:cNvSpPr txBox="1"/>
      </xdr:nvSpPr>
      <xdr:spPr>
        <a:xfrm>
          <a:off x="4824413" y="6346031"/>
          <a:ext cx="452438" cy="28575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Gr Gef S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Überfallartige Aktionen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Hintere Schmidenmatt</a:t>
          </a:r>
        </a:p>
      </xdr:txBody>
    </xdr:sp>
    <xdr:clientData/>
  </xdr:twoCellAnchor>
  <xdr:twoCellAnchor>
    <xdr:from>
      <xdr:col>18</xdr:col>
      <xdr:colOff>0</xdr:colOff>
      <xdr:row>37</xdr:row>
      <xdr:rowOff>0</xdr:rowOff>
    </xdr:from>
    <xdr:to>
      <xdr:col>22</xdr:col>
      <xdr:colOff>2381</xdr:colOff>
      <xdr:row>57</xdr:row>
      <xdr:rowOff>0</xdr:rowOff>
    </xdr:to>
    <xdr:sp macro="" textlink="">
      <xdr:nvSpPr>
        <xdr:cNvPr id="80" name="Textfeld 117"/>
        <xdr:cNvSpPr txBox="1"/>
      </xdr:nvSpPr>
      <xdr:spPr>
        <a:xfrm>
          <a:off x="3917156" y="6346031"/>
          <a:ext cx="907256" cy="28575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Gr Gef S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Überfallartige Aktionen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Vordere Schmidenmatt</a:t>
          </a:r>
        </a:p>
      </xdr:txBody>
    </xdr:sp>
    <xdr:clientData/>
  </xdr:twoCellAnchor>
  <xdr:twoCellAnchor>
    <xdr:from>
      <xdr:col>16</xdr:col>
      <xdr:colOff>0</xdr:colOff>
      <xdr:row>14</xdr:row>
      <xdr:rowOff>142873</xdr:rowOff>
    </xdr:from>
    <xdr:to>
      <xdr:col>18</xdr:col>
      <xdr:colOff>1</xdr:colOff>
      <xdr:row>33</xdr:row>
      <xdr:rowOff>0</xdr:rowOff>
    </xdr:to>
    <xdr:sp macro="" textlink="">
      <xdr:nvSpPr>
        <xdr:cNvPr id="85" name="Text 693"/>
        <xdr:cNvSpPr txBox="1">
          <a:spLocks noChangeArrowheads="1"/>
        </xdr:cNvSpPr>
      </xdr:nvSpPr>
      <xdr:spPr bwMode="auto">
        <a:xfrm flipV="1">
          <a:off x="3464719" y="3202779"/>
          <a:ext cx="452438" cy="2571752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 / Ausb Pers Wf</a:t>
          </a:r>
        </a:p>
      </xdr:txBody>
    </xdr:sp>
    <xdr:clientData/>
  </xdr:twoCellAnchor>
  <xdr:twoCellAnchor>
    <xdr:from>
      <xdr:col>16</xdr:col>
      <xdr:colOff>0</xdr:colOff>
      <xdr:row>36</xdr:row>
      <xdr:rowOff>142873</xdr:rowOff>
    </xdr:from>
    <xdr:to>
      <xdr:col>18</xdr:col>
      <xdr:colOff>1</xdr:colOff>
      <xdr:row>57</xdr:row>
      <xdr:rowOff>0</xdr:rowOff>
    </xdr:to>
    <xdr:sp macro="" textlink="">
      <xdr:nvSpPr>
        <xdr:cNvPr id="88" name="Text 693"/>
        <xdr:cNvSpPr txBox="1">
          <a:spLocks noChangeArrowheads="1"/>
        </xdr:cNvSpPr>
      </xdr:nvSpPr>
      <xdr:spPr bwMode="auto">
        <a:xfrm flipV="1">
          <a:off x="3464719" y="6346029"/>
          <a:ext cx="452438" cy="2857502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Kdo Arbeit / Ausb Pers Wf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88</xdr:col>
      <xdr:colOff>74830</xdr:colOff>
      <xdr:row>79</xdr:row>
      <xdr:rowOff>115956</xdr:rowOff>
    </xdr:from>
    <xdr:to>
      <xdr:col>90</xdr:col>
      <xdr:colOff>969067</xdr:colOff>
      <xdr:row>82</xdr:row>
      <xdr:rowOff>27977</xdr:rowOff>
    </xdr:to>
    <xdr:pic>
      <xdr:nvPicPr>
        <xdr:cNvPr id="238" name="Grafik 237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10" t="65997" r="8696" b="8756"/>
        <a:stretch/>
      </xdr:blipFill>
      <xdr:spPr bwMode="auto">
        <a:xfrm>
          <a:off x="19257352" y="12316239"/>
          <a:ext cx="1324932" cy="334434"/>
        </a:xfrm>
        <a:prstGeom prst="rect">
          <a:avLst/>
        </a:prstGeom>
        <a:solidFill>
          <a:schemeClr val="accent1">
            <a:alpha val="0"/>
          </a:schemeClr>
        </a:solidFill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24</xdr:col>
      <xdr:colOff>0</xdr:colOff>
      <xdr:row>33</xdr:row>
      <xdr:rowOff>0</xdr:rowOff>
    </xdr:from>
    <xdr:to>
      <xdr:col>25</xdr:col>
      <xdr:colOff>230999</xdr:colOff>
      <xdr:row>51</xdr:row>
      <xdr:rowOff>0</xdr:rowOff>
    </xdr:to>
    <xdr:sp macro="" textlink="">
      <xdr:nvSpPr>
        <xdr:cNvPr id="192" name="Textfeld 117"/>
        <xdr:cNvSpPr txBox="1"/>
      </xdr:nvSpPr>
      <xdr:spPr>
        <a:xfrm>
          <a:off x="5383696" y="5723283"/>
          <a:ext cx="462912" cy="2534478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gem beso Bf</a:t>
          </a:r>
        </a:p>
      </xdr:txBody>
    </xdr:sp>
    <xdr:clientData/>
  </xdr:twoCellAnchor>
  <xdr:twoCellAnchor>
    <xdr:from>
      <xdr:col>22</xdr:col>
      <xdr:colOff>0</xdr:colOff>
      <xdr:row>18</xdr:row>
      <xdr:rowOff>0</xdr:rowOff>
    </xdr:from>
    <xdr:to>
      <xdr:col>24</xdr:col>
      <xdr:colOff>0</xdr:colOff>
      <xdr:row>23</xdr:row>
      <xdr:rowOff>140804</xdr:rowOff>
    </xdr:to>
    <xdr:sp macro="" textlink="">
      <xdr:nvSpPr>
        <xdr:cNvPr id="189" name="Textfeld 117"/>
        <xdr:cNvSpPr txBox="1"/>
      </xdr:nvSpPr>
      <xdr:spPr>
        <a:xfrm>
          <a:off x="4919870" y="3611217"/>
          <a:ext cx="463826" cy="844826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31</xdr:col>
      <xdr:colOff>173935</xdr:colOff>
      <xdr:row>26</xdr:row>
      <xdr:rowOff>124240</xdr:rowOff>
    </xdr:from>
    <xdr:to>
      <xdr:col>39</xdr:col>
      <xdr:colOff>173935</xdr:colOff>
      <xdr:row>49</xdr:row>
      <xdr:rowOff>124240</xdr:rowOff>
    </xdr:to>
    <xdr:sp macro="" textlink="">
      <xdr:nvSpPr>
        <xdr:cNvPr id="156" name="Text 693"/>
        <xdr:cNvSpPr txBox="1">
          <a:spLocks noChangeArrowheads="1"/>
        </xdr:cNvSpPr>
      </xdr:nvSpPr>
      <xdr:spPr bwMode="auto">
        <a:xfrm flipV="1">
          <a:off x="7023652" y="4861892"/>
          <a:ext cx="1855305" cy="32385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fr-CH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"INIZIO"</a:t>
          </a:r>
          <a:endParaRPr lang="de-CH" sz="1100" b="1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1. ROSSBODEN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2. LAYOUT KP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3. Ristl</a:t>
          </a:r>
          <a:b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4. FIS HE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28</xdr:col>
      <xdr:colOff>0</xdr:colOff>
      <xdr:row>49</xdr:row>
      <xdr:rowOff>0</xdr:rowOff>
    </xdr:from>
    <xdr:to>
      <xdr:col>29</xdr:col>
      <xdr:colOff>0</xdr:colOff>
      <xdr:row>57</xdr:row>
      <xdr:rowOff>0</xdr:rowOff>
    </xdr:to>
    <xdr:sp macro="" textlink="">
      <xdr:nvSpPr>
        <xdr:cNvPr id="60" name="Textfeld 225"/>
        <xdr:cNvSpPr txBox="1"/>
      </xdr:nvSpPr>
      <xdr:spPr>
        <a:xfrm>
          <a:off x="6179344" y="8060531"/>
          <a:ext cx="250031" cy="1143000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chemeClr val="bg1"/>
              </a:solidFill>
              <a:latin typeface="Arial"/>
            </a:rPr>
            <a:t>20</a:t>
          </a:r>
        </a:p>
      </xdr:txBody>
    </xdr:sp>
    <xdr:clientData/>
  </xdr:twoCellAnchor>
  <xdr:twoCellAnchor>
    <xdr:from>
      <xdr:col>4</xdr:col>
      <xdr:colOff>0</xdr:colOff>
      <xdr:row>67</xdr:row>
      <xdr:rowOff>0</xdr:rowOff>
    </xdr:from>
    <xdr:to>
      <xdr:col>14</xdr:col>
      <xdr:colOff>0</xdr:colOff>
      <xdr:row>67</xdr:row>
      <xdr:rowOff>140804</xdr:rowOff>
    </xdr:to>
    <xdr:sp macro="" textlink="">
      <xdr:nvSpPr>
        <xdr:cNvPr id="138" name="Text 693"/>
        <xdr:cNvSpPr txBox="1">
          <a:spLocks noChangeArrowheads="1"/>
        </xdr:cNvSpPr>
      </xdr:nvSpPr>
      <xdr:spPr bwMode="auto">
        <a:xfrm flipV="1">
          <a:off x="902804" y="10510630"/>
          <a:ext cx="2319131" cy="140804"/>
        </a:xfrm>
        <a:prstGeom prst="rect">
          <a:avLst/>
        </a:prstGeom>
        <a:solidFill>
          <a:schemeClr val="tx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2030 - Appell</a:t>
          </a:r>
          <a:endParaRPr lang="fr-CH" sz="900" b="0" i="0" u="none" strike="noStrike" baseline="0">
            <a:solidFill>
              <a:schemeClr val="bg1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 editAs="oneCell">
    <xdr:from>
      <xdr:col>89</xdr:col>
      <xdr:colOff>38758</xdr:colOff>
      <xdr:row>84</xdr:row>
      <xdr:rowOff>155690</xdr:rowOff>
    </xdr:from>
    <xdr:to>
      <xdr:col>91</xdr:col>
      <xdr:colOff>270424</xdr:colOff>
      <xdr:row>88</xdr:row>
      <xdr:rowOff>115245</xdr:rowOff>
    </xdr:to>
    <xdr:pic>
      <xdr:nvPicPr>
        <xdr:cNvPr id="14" name="Image 24" descr="Signature.jpg"/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8857" t="12582" b="8742"/>
        <a:stretch>
          <a:fillRect/>
        </a:stretch>
      </xdr:blipFill>
      <xdr:spPr>
        <a:xfrm>
          <a:off x="19403497" y="13084842"/>
          <a:ext cx="1730818" cy="622164"/>
        </a:xfrm>
        <a:prstGeom prst="rect">
          <a:avLst/>
        </a:prstGeom>
        <a:noFill/>
      </xdr:spPr>
    </xdr:pic>
    <xdr:clientData/>
  </xdr:twoCellAnchor>
  <xdr:twoCellAnchor>
    <xdr:from>
      <xdr:col>14</xdr:col>
      <xdr:colOff>0</xdr:colOff>
      <xdr:row>22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71" name="Textfeld 225"/>
        <xdr:cNvSpPr txBox="1"/>
      </xdr:nvSpPr>
      <xdr:spPr>
        <a:xfrm>
          <a:off x="3211286" y="4299857"/>
          <a:ext cx="244928" cy="598714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SR</a:t>
          </a:r>
        </a:p>
      </xdr:txBody>
    </xdr:sp>
    <xdr:clientData/>
  </xdr:twoCellAnchor>
  <xdr:twoCellAnchor>
    <xdr:from>
      <xdr:col>4</xdr:col>
      <xdr:colOff>0</xdr:colOff>
      <xdr:row>13</xdr:row>
      <xdr:rowOff>132522</xdr:rowOff>
    </xdr:from>
    <xdr:to>
      <xdr:col>12</xdr:col>
      <xdr:colOff>0</xdr:colOff>
      <xdr:row>14</xdr:row>
      <xdr:rowOff>132522</xdr:rowOff>
    </xdr:to>
    <xdr:sp macro="" textlink="">
      <xdr:nvSpPr>
        <xdr:cNvPr id="72" name="Textfeld 225"/>
        <xdr:cNvSpPr txBox="1"/>
      </xdr:nvSpPr>
      <xdr:spPr>
        <a:xfrm>
          <a:off x="902804" y="3039718"/>
          <a:ext cx="1855305" cy="140804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 0715 - Appell</a:t>
          </a:r>
        </a:p>
      </xdr:txBody>
    </xdr:sp>
    <xdr:clientData/>
  </xdr:twoCellAnchor>
  <xdr:twoCellAnchor>
    <xdr:from>
      <xdr:col>2</xdr:col>
      <xdr:colOff>0</xdr:colOff>
      <xdr:row>16</xdr:row>
      <xdr:rowOff>0</xdr:rowOff>
    </xdr:from>
    <xdr:to>
      <xdr:col>4</xdr:col>
      <xdr:colOff>0</xdr:colOff>
      <xdr:row>80</xdr:row>
      <xdr:rowOff>142873</xdr:rowOff>
    </xdr:to>
    <xdr:sp macro="" textlink="">
      <xdr:nvSpPr>
        <xdr:cNvPr id="74" name="Text 693"/>
        <xdr:cNvSpPr txBox="1">
          <a:spLocks noChangeArrowheads="1"/>
        </xdr:cNvSpPr>
      </xdr:nvSpPr>
      <xdr:spPr bwMode="auto">
        <a:xfrm flipV="1">
          <a:off x="440121" y="3363310"/>
          <a:ext cx="459827" cy="9391977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Instr selon o cdt rempl</a:t>
          </a:r>
        </a:p>
      </xdr:txBody>
    </xdr:sp>
    <xdr:clientData/>
  </xdr:twoCellAnchor>
  <xdr:twoCellAnchor>
    <xdr:from>
      <xdr:col>4</xdr:col>
      <xdr:colOff>1</xdr:colOff>
      <xdr:row>74</xdr:row>
      <xdr:rowOff>0</xdr:rowOff>
    </xdr:from>
    <xdr:to>
      <xdr:col>14</xdr:col>
      <xdr:colOff>0</xdr:colOff>
      <xdr:row>77</xdr:row>
      <xdr:rowOff>0</xdr:rowOff>
    </xdr:to>
    <xdr:sp macro="" textlink="">
      <xdr:nvSpPr>
        <xdr:cNvPr id="83" name="Text 693"/>
        <xdr:cNvSpPr txBox="1">
          <a:spLocks noChangeArrowheads="1"/>
        </xdr:cNvSpPr>
      </xdr:nvSpPr>
      <xdr:spPr bwMode="auto">
        <a:xfrm>
          <a:off x="902805" y="11496261"/>
          <a:ext cx="2319130" cy="422413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ID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Fw</a:t>
          </a:r>
        </a:p>
      </xdr:txBody>
    </xdr:sp>
    <xdr:clientData/>
  </xdr:twoCellAnchor>
  <xdr:twoCellAnchor>
    <xdr:from>
      <xdr:col>4</xdr:col>
      <xdr:colOff>0</xdr:colOff>
      <xdr:row>77</xdr:row>
      <xdr:rowOff>0</xdr:rowOff>
    </xdr:from>
    <xdr:to>
      <xdr:col>14</xdr:col>
      <xdr:colOff>0</xdr:colOff>
      <xdr:row>78</xdr:row>
      <xdr:rowOff>0</xdr:rowOff>
    </xdr:to>
    <xdr:sp macro="" textlink="">
      <xdr:nvSpPr>
        <xdr:cNvPr id="84" name="Textfeld 225"/>
        <xdr:cNvSpPr txBox="1"/>
      </xdr:nvSpPr>
      <xdr:spPr>
        <a:xfrm>
          <a:off x="899948" y="12178862"/>
          <a:ext cx="2299138" cy="144517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14</xdr:col>
      <xdr:colOff>0</xdr:colOff>
      <xdr:row>69</xdr:row>
      <xdr:rowOff>139212</xdr:rowOff>
    </xdr:from>
    <xdr:to>
      <xdr:col>15</xdr:col>
      <xdr:colOff>0</xdr:colOff>
      <xdr:row>76</xdr:row>
      <xdr:rowOff>1</xdr:rowOff>
    </xdr:to>
    <xdr:sp macro="" textlink="">
      <xdr:nvSpPr>
        <xdr:cNvPr id="91" name="Textfeld 225"/>
        <xdr:cNvSpPr txBox="1"/>
      </xdr:nvSpPr>
      <xdr:spPr>
        <a:xfrm>
          <a:off x="3165231" y="11283462"/>
          <a:ext cx="249115" cy="886558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ROI</a:t>
          </a:r>
        </a:p>
      </xdr:txBody>
    </xdr:sp>
    <xdr:clientData/>
  </xdr:twoCellAnchor>
  <xdr:twoCellAnchor>
    <xdr:from>
      <xdr:col>28</xdr:col>
      <xdr:colOff>0</xdr:colOff>
      <xdr:row>10</xdr:row>
      <xdr:rowOff>3093</xdr:rowOff>
    </xdr:from>
    <xdr:to>
      <xdr:col>29</xdr:col>
      <xdr:colOff>0</xdr:colOff>
      <xdr:row>13</xdr:row>
      <xdr:rowOff>0</xdr:rowOff>
    </xdr:to>
    <xdr:sp macro="" textlink="">
      <xdr:nvSpPr>
        <xdr:cNvPr id="105" name="Textfeld 193"/>
        <xdr:cNvSpPr txBox="1"/>
      </xdr:nvSpPr>
      <xdr:spPr>
        <a:xfrm>
          <a:off x="6311348" y="2487876"/>
          <a:ext cx="248478" cy="41932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16</xdr:col>
      <xdr:colOff>0</xdr:colOff>
      <xdr:row>13</xdr:row>
      <xdr:rowOff>145676</xdr:rowOff>
    </xdr:from>
    <xdr:to>
      <xdr:col>18</xdr:col>
      <xdr:colOff>0</xdr:colOff>
      <xdr:row>80</xdr:row>
      <xdr:rowOff>145675</xdr:rowOff>
    </xdr:to>
    <xdr:sp macro="" textlink="">
      <xdr:nvSpPr>
        <xdr:cNvPr id="109" name="Text 693"/>
        <xdr:cNvSpPr txBox="1">
          <a:spLocks noChangeArrowheads="1"/>
        </xdr:cNvSpPr>
      </xdr:nvSpPr>
      <xdr:spPr bwMode="auto">
        <a:xfrm flipV="1">
          <a:off x="3429000" y="3070411"/>
          <a:ext cx="448235" cy="9760323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Instr selon o cdt rempl</a:t>
          </a: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8</xdr:col>
      <xdr:colOff>1313</xdr:colOff>
      <xdr:row>11</xdr:row>
      <xdr:rowOff>0</xdr:rowOff>
    </xdr:to>
    <xdr:sp macro="" textlink="">
      <xdr:nvSpPr>
        <xdr:cNvPr id="128" name="Textfeld 225"/>
        <xdr:cNvSpPr txBox="1"/>
      </xdr:nvSpPr>
      <xdr:spPr>
        <a:xfrm>
          <a:off x="438978" y="2343978"/>
          <a:ext cx="1392792" cy="28160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0600 - Frühstück</a:t>
          </a:r>
        </a:p>
      </xdr:txBody>
    </xdr:sp>
    <xdr:clientData/>
  </xdr:twoCellAnchor>
  <xdr:twoCellAnchor>
    <xdr:from>
      <xdr:col>8</xdr:col>
      <xdr:colOff>1312</xdr:colOff>
      <xdr:row>11</xdr:row>
      <xdr:rowOff>0</xdr:rowOff>
    </xdr:from>
    <xdr:to>
      <xdr:col>12</xdr:col>
      <xdr:colOff>0</xdr:colOff>
      <xdr:row>13</xdr:row>
      <xdr:rowOff>0</xdr:rowOff>
    </xdr:to>
    <xdr:sp macro="" textlink="">
      <xdr:nvSpPr>
        <xdr:cNvPr id="129" name="Textfeld 225"/>
        <xdr:cNvSpPr txBox="1"/>
      </xdr:nvSpPr>
      <xdr:spPr>
        <a:xfrm>
          <a:off x="1831769" y="2625587"/>
          <a:ext cx="926340" cy="28160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0630 - Frühstück</a:t>
          </a:r>
        </a:p>
      </xdr:txBody>
    </xdr:sp>
    <xdr:clientData/>
  </xdr:twoCellAnchor>
  <xdr:twoCellAnchor>
    <xdr:from>
      <xdr:col>4</xdr:col>
      <xdr:colOff>0</xdr:colOff>
      <xdr:row>32</xdr:row>
      <xdr:rowOff>140804</xdr:rowOff>
    </xdr:from>
    <xdr:to>
      <xdr:col>12</xdr:col>
      <xdr:colOff>0</xdr:colOff>
      <xdr:row>35</xdr:row>
      <xdr:rowOff>140804</xdr:rowOff>
    </xdr:to>
    <xdr:sp macro="" textlink="">
      <xdr:nvSpPr>
        <xdr:cNvPr id="88" name="Text 693"/>
        <xdr:cNvSpPr txBox="1">
          <a:spLocks noChangeArrowheads="1"/>
        </xdr:cNvSpPr>
      </xdr:nvSpPr>
      <xdr:spPr bwMode="auto">
        <a:xfrm flipV="1">
          <a:off x="902804" y="5723282"/>
          <a:ext cx="1855305" cy="422413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Mittagessen 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Four</a:t>
          </a:r>
        </a:p>
      </xdr:txBody>
    </xdr:sp>
    <xdr:clientData/>
  </xdr:twoCellAnchor>
  <xdr:twoCellAnchor>
    <xdr:from>
      <xdr:col>4</xdr:col>
      <xdr:colOff>0</xdr:colOff>
      <xdr:row>59</xdr:row>
      <xdr:rowOff>0</xdr:rowOff>
    </xdr:from>
    <xdr:to>
      <xdr:col>8</xdr:col>
      <xdr:colOff>0</xdr:colOff>
      <xdr:row>62</xdr:row>
      <xdr:rowOff>10305</xdr:rowOff>
    </xdr:to>
    <xdr:sp macro="" textlink="">
      <xdr:nvSpPr>
        <xdr:cNvPr id="139" name="Text 693"/>
        <xdr:cNvSpPr txBox="1">
          <a:spLocks noChangeArrowheads="1"/>
        </xdr:cNvSpPr>
      </xdr:nvSpPr>
      <xdr:spPr bwMode="auto">
        <a:xfrm flipV="1">
          <a:off x="902804" y="9384196"/>
          <a:ext cx="927653" cy="432718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Nachtessen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Four</a:t>
          </a:r>
        </a:p>
      </xdr:txBody>
    </xdr:sp>
    <xdr:clientData/>
  </xdr:twoCellAnchor>
  <xdr:twoCellAnchor>
    <xdr:from>
      <xdr:col>14</xdr:col>
      <xdr:colOff>0</xdr:colOff>
      <xdr:row>57</xdr:row>
      <xdr:rowOff>0</xdr:rowOff>
    </xdr:from>
    <xdr:to>
      <xdr:col>15</xdr:col>
      <xdr:colOff>0</xdr:colOff>
      <xdr:row>59</xdr:row>
      <xdr:rowOff>0</xdr:rowOff>
    </xdr:to>
    <xdr:sp macro="" textlink="">
      <xdr:nvSpPr>
        <xdr:cNvPr id="140" name="Textfeld 225"/>
        <xdr:cNvSpPr txBox="1"/>
      </xdr:nvSpPr>
      <xdr:spPr>
        <a:xfrm>
          <a:off x="3221935" y="9102587"/>
          <a:ext cx="248478" cy="281609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chemeClr val="bg1"/>
              </a:solidFill>
              <a:latin typeface="Arial"/>
            </a:rPr>
            <a:t>11</a:t>
          </a:r>
        </a:p>
      </xdr:txBody>
    </xdr:sp>
    <xdr:clientData/>
  </xdr:twoCellAnchor>
  <xdr:twoCellAnchor>
    <xdr:from>
      <xdr:col>16</xdr:col>
      <xdr:colOff>0</xdr:colOff>
      <xdr:row>14</xdr:row>
      <xdr:rowOff>0</xdr:rowOff>
    </xdr:from>
    <xdr:to>
      <xdr:col>26</xdr:col>
      <xdr:colOff>0</xdr:colOff>
      <xdr:row>15</xdr:row>
      <xdr:rowOff>0</xdr:rowOff>
    </xdr:to>
    <xdr:sp macro="" textlink="">
      <xdr:nvSpPr>
        <xdr:cNvPr id="96" name="Textfeld 225"/>
        <xdr:cNvSpPr txBox="1"/>
      </xdr:nvSpPr>
      <xdr:spPr>
        <a:xfrm>
          <a:off x="3528391" y="3048000"/>
          <a:ext cx="2319131" cy="140804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0715 - Appell</a:t>
          </a:r>
        </a:p>
      </xdr:txBody>
    </xdr:sp>
    <xdr:clientData/>
  </xdr:twoCellAnchor>
  <xdr:twoCellAnchor>
    <xdr:from>
      <xdr:col>29</xdr:col>
      <xdr:colOff>59120</xdr:colOff>
      <xdr:row>15</xdr:row>
      <xdr:rowOff>0</xdr:rowOff>
    </xdr:from>
    <xdr:to>
      <xdr:col>31</xdr:col>
      <xdr:colOff>229913</xdr:colOff>
      <xdr:row>81</xdr:row>
      <xdr:rowOff>1</xdr:rowOff>
    </xdr:to>
    <xdr:sp macro="" textlink="">
      <xdr:nvSpPr>
        <xdr:cNvPr id="161" name="Text 693"/>
        <xdr:cNvSpPr txBox="1">
          <a:spLocks noChangeArrowheads="1"/>
        </xdr:cNvSpPr>
      </xdr:nvSpPr>
      <xdr:spPr bwMode="auto">
        <a:xfrm flipV="1">
          <a:off x="6575534" y="3218793"/>
          <a:ext cx="459827" cy="9538139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Instr selon o cdt rempl</a:t>
          </a:r>
        </a:p>
      </xdr:txBody>
    </xdr:sp>
    <xdr:clientData/>
  </xdr:twoCellAnchor>
  <xdr:twoCellAnchor>
    <xdr:from>
      <xdr:col>44</xdr:col>
      <xdr:colOff>1142</xdr:colOff>
      <xdr:row>13</xdr:row>
      <xdr:rowOff>0</xdr:rowOff>
    </xdr:from>
    <xdr:to>
      <xdr:col>45</xdr:col>
      <xdr:colOff>229913</xdr:colOff>
      <xdr:row>81</xdr:row>
      <xdr:rowOff>1</xdr:rowOff>
    </xdr:to>
    <xdr:sp macro="" textlink="">
      <xdr:nvSpPr>
        <xdr:cNvPr id="162" name="Text 693"/>
        <xdr:cNvSpPr txBox="1">
          <a:spLocks noChangeArrowheads="1"/>
        </xdr:cNvSpPr>
      </xdr:nvSpPr>
      <xdr:spPr bwMode="auto">
        <a:xfrm flipV="1">
          <a:off x="9708359" y="2907196"/>
          <a:ext cx="460684" cy="9574696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Instr selon o cdt rempl</a:t>
          </a:r>
        </a:p>
      </xdr:txBody>
    </xdr:sp>
    <xdr:clientData/>
  </xdr:twoCellAnchor>
  <xdr:twoCellAnchor>
    <xdr:from>
      <xdr:col>58</xdr:col>
      <xdr:colOff>0</xdr:colOff>
      <xdr:row>13</xdr:row>
      <xdr:rowOff>0</xdr:rowOff>
    </xdr:from>
    <xdr:to>
      <xdr:col>60</xdr:col>
      <xdr:colOff>0</xdr:colOff>
      <xdr:row>80</xdr:row>
      <xdr:rowOff>140803</xdr:rowOff>
    </xdr:to>
    <xdr:sp macro="" textlink="">
      <xdr:nvSpPr>
        <xdr:cNvPr id="163" name="Text 693"/>
        <xdr:cNvSpPr txBox="1">
          <a:spLocks noChangeArrowheads="1"/>
        </xdr:cNvSpPr>
      </xdr:nvSpPr>
      <xdr:spPr bwMode="auto">
        <a:xfrm flipV="1">
          <a:off x="12710948" y="2929759"/>
          <a:ext cx="459828" cy="9823458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Instr selon o cdt rempl</a:t>
          </a:r>
        </a:p>
      </xdr:txBody>
    </xdr:sp>
    <xdr:clientData/>
  </xdr:twoCellAnchor>
  <xdr:twoCellAnchor>
    <xdr:from>
      <xdr:col>71</xdr:col>
      <xdr:colOff>57978</xdr:colOff>
      <xdr:row>18</xdr:row>
      <xdr:rowOff>0</xdr:rowOff>
    </xdr:from>
    <xdr:to>
      <xdr:col>82</xdr:col>
      <xdr:colOff>0</xdr:colOff>
      <xdr:row>18</xdr:row>
      <xdr:rowOff>140804</xdr:rowOff>
    </xdr:to>
    <xdr:sp macro="" textlink="">
      <xdr:nvSpPr>
        <xdr:cNvPr id="167" name="Textfeld 225"/>
        <xdr:cNvSpPr txBox="1"/>
      </xdr:nvSpPr>
      <xdr:spPr>
        <a:xfrm>
          <a:off x="15886043" y="3611217"/>
          <a:ext cx="2153479" cy="140804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0815 - Appell</a:t>
          </a:r>
        </a:p>
      </xdr:txBody>
    </xdr:sp>
    <xdr:clientData/>
  </xdr:twoCellAnchor>
  <xdr:twoCellAnchor>
    <xdr:from>
      <xdr:col>32</xdr:col>
      <xdr:colOff>0</xdr:colOff>
      <xdr:row>15</xdr:row>
      <xdr:rowOff>140803</xdr:rowOff>
    </xdr:from>
    <xdr:to>
      <xdr:col>40</xdr:col>
      <xdr:colOff>0</xdr:colOff>
      <xdr:row>75</xdr:row>
      <xdr:rowOff>3707</xdr:rowOff>
    </xdr:to>
    <xdr:sp macro="" textlink="">
      <xdr:nvSpPr>
        <xdr:cNvPr id="170" name="Text 693"/>
        <xdr:cNvSpPr txBox="1">
          <a:spLocks noChangeArrowheads="1"/>
        </xdr:cNvSpPr>
      </xdr:nvSpPr>
      <xdr:spPr bwMode="auto">
        <a:xfrm flipV="1">
          <a:off x="7081630" y="3329607"/>
          <a:ext cx="1855305" cy="831116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fr-CH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"CASA"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1. ROSSBODEN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2. LAYOUT KP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3. Ristl</a:t>
          </a:r>
          <a:b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4. FIS HE</a:t>
          </a:r>
        </a:p>
        <a:p>
          <a:pPr marL="0" indent="0" algn="ctr" rtl="0">
            <a:defRPr sz="1000"/>
          </a:pPr>
          <a:endParaRPr lang="fr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gem beso Bf</a:t>
          </a:r>
        </a:p>
      </xdr:txBody>
    </xdr:sp>
    <xdr:clientData/>
  </xdr:twoCellAnchor>
  <xdr:twoCellAnchor>
    <xdr:from>
      <xdr:col>45</xdr:col>
      <xdr:colOff>231913</xdr:colOff>
      <xdr:row>12</xdr:row>
      <xdr:rowOff>140804</xdr:rowOff>
    </xdr:from>
    <xdr:to>
      <xdr:col>54</xdr:col>
      <xdr:colOff>0</xdr:colOff>
      <xdr:row>75</xdr:row>
      <xdr:rowOff>3711</xdr:rowOff>
    </xdr:to>
    <xdr:sp macro="" textlink="">
      <xdr:nvSpPr>
        <xdr:cNvPr id="171" name="Text 693"/>
        <xdr:cNvSpPr txBox="1">
          <a:spLocks noChangeArrowheads="1"/>
        </xdr:cNvSpPr>
      </xdr:nvSpPr>
      <xdr:spPr bwMode="auto">
        <a:xfrm flipV="1">
          <a:off x="10171043" y="2907195"/>
          <a:ext cx="1855305" cy="873358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fr-CH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"CASA"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1. ROSSBODEN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2. LAYOUT KP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3. Ristl</a:t>
          </a:r>
          <a:b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4. FIS HE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fr-CH" sz="8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gem beso Bf</a:t>
          </a:r>
          <a:endParaRPr lang="de-CH" sz="6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60</xdr:col>
      <xdr:colOff>0</xdr:colOff>
      <xdr:row>37</xdr:row>
      <xdr:rowOff>1</xdr:rowOff>
    </xdr:from>
    <xdr:to>
      <xdr:col>68</xdr:col>
      <xdr:colOff>0</xdr:colOff>
      <xdr:row>55</xdr:row>
      <xdr:rowOff>1</xdr:rowOff>
    </xdr:to>
    <xdr:sp macro="" textlink="">
      <xdr:nvSpPr>
        <xdr:cNvPr id="172" name="Textfeld 117"/>
        <xdr:cNvSpPr txBox="1"/>
      </xdr:nvSpPr>
      <xdr:spPr>
        <a:xfrm>
          <a:off x="13260457" y="6286501"/>
          <a:ext cx="1855304" cy="253447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Reorganisation / EV DHU</a:t>
          </a:r>
        </a:p>
        <a:p>
          <a:pPr marL="0" indent="0" algn="ctr" rtl="0">
            <a:defRPr sz="1000"/>
          </a:pPr>
          <a:r>
            <a:rPr lang="de-CH" sz="9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Kp Kdt Stv</a:t>
          </a:r>
        </a:p>
      </xdr:txBody>
    </xdr:sp>
    <xdr:clientData/>
  </xdr:twoCellAnchor>
  <xdr:twoCellAnchor>
    <xdr:from>
      <xdr:col>60</xdr:col>
      <xdr:colOff>0</xdr:colOff>
      <xdr:row>73</xdr:row>
      <xdr:rowOff>0</xdr:rowOff>
    </xdr:from>
    <xdr:to>
      <xdr:col>68</xdr:col>
      <xdr:colOff>0</xdr:colOff>
      <xdr:row>76</xdr:row>
      <xdr:rowOff>0</xdr:rowOff>
    </xdr:to>
    <xdr:sp macro="" textlink="">
      <xdr:nvSpPr>
        <xdr:cNvPr id="174" name="Text 693"/>
        <xdr:cNvSpPr txBox="1">
          <a:spLocks noChangeArrowheads="1"/>
        </xdr:cNvSpPr>
      </xdr:nvSpPr>
      <xdr:spPr bwMode="auto">
        <a:xfrm>
          <a:off x="13260457" y="11355457"/>
          <a:ext cx="1855304" cy="422413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ID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Fw</a:t>
          </a:r>
        </a:p>
      </xdr:txBody>
    </xdr:sp>
    <xdr:clientData/>
  </xdr:twoCellAnchor>
  <xdr:twoCellAnchor>
    <xdr:from>
      <xdr:col>60</xdr:col>
      <xdr:colOff>0</xdr:colOff>
      <xdr:row>58</xdr:row>
      <xdr:rowOff>140804</xdr:rowOff>
    </xdr:from>
    <xdr:to>
      <xdr:col>68</xdr:col>
      <xdr:colOff>0</xdr:colOff>
      <xdr:row>61</xdr:row>
      <xdr:rowOff>140804</xdr:rowOff>
    </xdr:to>
    <xdr:sp macro="" textlink="">
      <xdr:nvSpPr>
        <xdr:cNvPr id="175" name="Text 693"/>
        <xdr:cNvSpPr txBox="1">
          <a:spLocks noChangeArrowheads="1"/>
        </xdr:cNvSpPr>
      </xdr:nvSpPr>
      <xdr:spPr bwMode="auto">
        <a:xfrm flipV="1">
          <a:off x="13260457" y="9384195"/>
          <a:ext cx="1855304" cy="422413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Nachtessen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Four</a:t>
          </a:r>
        </a:p>
      </xdr:txBody>
    </xdr:sp>
    <xdr:clientData/>
  </xdr:twoCellAnchor>
  <xdr:twoCellAnchor>
    <xdr:from>
      <xdr:col>60</xdr:col>
      <xdr:colOff>0</xdr:colOff>
      <xdr:row>32</xdr:row>
      <xdr:rowOff>144517</xdr:rowOff>
    </xdr:from>
    <xdr:to>
      <xdr:col>68</xdr:col>
      <xdr:colOff>0</xdr:colOff>
      <xdr:row>35</xdr:row>
      <xdr:rowOff>140804</xdr:rowOff>
    </xdr:to>
    <xdr:sp macro="" textlink="">
      <xdr:nvSpPr>
        <xdr:cNvPr id="176" name="Text 693"/>
        <xdr:cNvSpPr txBox="1">
          <a:spLocks noChangeArrowheads="1"/>
        </xdr:cNvSpPr>
      </xdr:nvSpPr>
      <xdr:spPr bwMode="auto">
        <a:xfrm flipV="1">
          <a:off x="13170776" y="5820103"/>
          <a:ext cx="1839310" cy="429839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Mittagessen (Gelände) 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Four</a:t>
          </a:r>
        </a:p>
      </xdr:txBody>
    </xdr:sp>
    <xdr:clientData/>
  </xdr:twoCellAnchor>
  <xdr:twoCellAnchor>
    <xdr:from>
      <xdr:col>72</xdr:col>
      <xdr:colOff>0</xdr:colOff>
      <xdr:row>73</xdr:row>
      <xdr:rowOff>0</xdr:rowOff>
    </xdr:from>
    <xdr:to>
      <xdr:col>85</xdr:col>
      <xdr:colOff>0</xdr:colOff>
      <xdr:row>75</xdr:row>
      <xdr:rowOff>0</xdr:rowOff>
    </xdr:to>
    <xdr:sp macro="" textlink="">
      <xdr:nvSpPr>
        <xdr:cNvPr id="54" name="Textfeld 225"/>
        <xdr:cNvSpPr txBox="1"/>
      </xdr:nvSpPr>
      <xdr:spPr>
        <a:xfrm>
          <a:off x="15396882" y="11665324"/>
          <a:ext cx="2913530" cy="291352"/>
        </a:xfrm>
        <a:prstGeom prst="rect">
          <a:avLst/>
        </a:prstGeom>
        <a:solidFill>
          <a:schemeClr val="bg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 ab 2200</a:t>
          </a:r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 Öffnung Kaserne</a:t>
          </a:r>
        </a:p>
      </xdr:txBody>
    </xdr:sp>
    <xdr:clientData/>
  </xdr:twoCellAnchor>
  <xdr:twoCellAnchor>
    <xdr:from>
      <xdr:col>72</xdr:col>
      <xdr:colOff>0</xdr:colOff>
      <xdr:row>77</xdr:row>
      <xdr:rowOff>0</xdr:rowOff>
    </xdr:from>
    <xdr:to>
      <xdr:col>85</xdr:col>
      <xdr:colOff>0</xdr:colOff>
      <xdr:row>78</xdr:row>
      <xdr:rowOff>0</xdr:rowOff>
    </xdr:to>
    <xdr:sp macro="" textlink="">
      <xdr:nvSpPr>
        <xdr:cNvPr id="55" name="Textfeld 225"/>
        <xdr:cNvSpPr txBox="1"/>
      </xdr:nvSpPr>
      <xdr:spPr>
        <a:xfrm>
          <a:off x="15396882" y="12248029"/>
          <a:ext cx="2913530" cy="145677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72</xdr:col>
      <xdr:colOff>1143</xdr:colOff>
      <xdr:row>16</xdr:row>
      <xdr:rowOff>0</xdr:rowOff>
    </xdr:from>
    <xdr:to>
      <xdr:col>82</xdr:col>
      <xdr:colOff>0</xdr:colOff>
      <xdr:row>18</xdr:row>
      <xdr:rowOff>0</xdr:rowOff>
    </xdr:to>
    <xdr:sp macro="" textlink="">
      <xdr:nvSpPr>
        <xdr:cNvPr id="56" name="Text 693"/>
        <xdr:cNvSpPr txBox="1">
          <a:spLocks noChangeArrowheads="1"/>
        </xdr:cNvSpPr>
      </xdr:nvSpPr>
      <xdr:spPr bwMode="auto">
        <a:xfrm>
          <a:off x="15887186" y="3329609"/>
          <a:ext cx="2152336" cy="281608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Kontrolle Zimmer-ordnung (Ukft) Fw</a:t>
          </a:r>
        </a:p>
      </xdr:txBody>
    </xdr:sp>
    <xdr:clientData/>
  </xdr:twoCellAnchor>
  <xdr:twoCellAnchor>
    <xdr:from>
      <xdr:col>14</xdr:col>
      <xdr:colOff>0</xdr:colOff>
      <xdr:row>45</xdr:row>
      <xdr:rowOff>1</xdr:rowOff>
    </xdr:from>
    <xdr:to>
      <xdr:col>15</xdr:col>
      <xdr:colOff>0</xdr:colOff>
      <xdr:row>47</xdr:row>
      <xdr:rowOff>1</xdr:rowOff>
    </xdr:to>
    <xdr:sp macro="" textlink="">
      <xdr:nvSpPr>
        <xdr:cNvPr id="57" name="Textfeld 225"/>
        <xdr:cNvSpPr txBox="1"/>
      </xdr:nvSpPr>
      <xdr:spPr>
        <a:xfrm>
          <a:off x="3221935" y="7412936"/>
          <a:ext cx="248478" cy="281608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chemeClr val="bg1"/>
              </a:solidFill>
              <a:latin typeface="Arial"/>
            </a:rPr>
            <a:t>10</a:t>
          </a:r>
        </a:p>
      </xdr:txBody>
    </xdr:sp>
    <xdr:clientData/>
  </xdr:twoCellAnchor>
  <xdr:twoCellAnchor>
    <xdr:from>
      <xdr:col>14</xdr:col>
      <xdr:colOff>0</xdr:colOff>
      <xdr:row>30</xdr:row>
      <xdr:rowOff>0</xdr:rowOff>
    </xdr:from>
    <xdr:to>
      <xdr:col>15</xdr:col>
      <xdr:colOff>0</xdr:colOff>
      <xdr:row>33</xdr:row>
      <xdr:rowOff>0</xdr:rowOff>
    </xdr:to>
    <xdr:sp macro="" textlink="">
      <xdr:nvSpPr>
        <xdr:cNvPr id="58" name="Textfeld 193"/>
        <xdr:cNvSpPr txBox="1"/>
      </xdr:nvSpPr>
      <xdr:spPr>
        <a:xfrm>
          <a:off x="3221935" y="5300870"/>
          <a:ext cx="248478" cy="422413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42</xdr:col>
      <xdr:colOff>0</xdr:colOff>
      <xdr:row>69</xdr:row>
      <xdr:rowOff>0</xdr:rowOff>
    </xdr:from>
    <xdr:to>
      <xdr:col>43</xdr:col>
      <xdr:colOff>0</xdr:colOff>
      <xdr:row>71</xdr:row>
      <xdr:rowOff>137711</xdr:rowOff>
    </xdr:to>
    <xdr:sp macro="" textlink="">
      <xdr:nvSpPr>
        <xdr:cNvPr id="59" name="Textfeld 193"/>
        <xdr:cNvSpPr txBox="1"/>
      </xdr:nvSpPr>
      <xdr:spPr>
        <a:xfrm>
          <a:off x="9400761" y="10792239"/>
          <a:ext cx="248478" cy="41932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56</xdr:col>
      <xdr:colOff>0</xdr:colOff>
      <xdr:row>38</xdr:row>
      <xdr:rowOff>140804</xdr:rowOff>
    </xdr:from>
    <xdr:to>
      <xdr:col>57</xdr:col>
      <xdr:colOff>0</xdr:colOff>
      <xdr:row>46</xdr:row>
      <xdr:rowOff>140804</xdr:rowOff>
    </xdr:to>
    <xdr:sp macro="" textlink="">
      <xdr:nvSpPr>
        <xdr:cNvPr id="62" name="Textfeld 225"/>
        <xdr:cNvSpPr txBox="1"/>
      </xdr:nvSpPr>
      <xdr:spPr>
        <a:xfrm>
          <a:off x="12490174" y="6568108"/>
          <a:ext cx="248478" cy="112643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chemeClr val="bg1"/>
              </a:solidFill>
              <a:latin typeface="Arial"/>
            </a:rPr>
            <a:t>30</a:t>
          </a:r>
        </a:p>
      </xdr:txBody>
    </xdr:sp>
    <xdr:clientData/>
  </xdr:twoCellAnchor>
  <xdr:twoCellAnchor>
    <xdr:from>
      <xdr:col>70</xdr:col>
      <xdr:colOff>0</xdr:colOff>
      <xdr:row>37</xdr:row>
      <xdr:rowOff>0</xdr:rowOff>
    </xdr:from>
    <xdr:to>
      <xdr:col>71</xdr:col>
      <xdr:colOff>0</xdr:colOff>
      <xdr:row>45</xdr:row>
      <xdr:rowOff>0</xdr:rowOff>
    </xdr:to>
    <xdr:sp macro="" textlink="">
      <xdr:nvSpPr>
        <xdr:cNvPr id="63" name="Textfeld 225"/>
        <xdr:cNvSpPr txBox="1"/>
      </xdr:nvSpPr>
      <xdr:spPr>
        <a:xfrm>
          <a:off x="15579587" y="6286500"/>
          <a:ext cx="248478" cy="112643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chemeClr val="bg1"/>
              </a:solidFill>
              <a:latin typeface="Arial"/>
            </a:rPr>
            <a:t>40</a:t>
          </a:r>
        </a:p>
      </xdr:txBody>
    </xdr:sp>
    <xdr:clientData/>
  </xdr:twoCellAnchor>
  <xdr:twoCellAnchor>
    <xdr:from>
      <xdr:col>30</xdr:col>
      <xdr:colOff>0</xdr:colOff>
      <xdr:row>14</xdr:row>
      <xdr:rowOff>0</xdr:rowOff>
    </xdr:from>
    <xdr:to>
      <xdr:col>40</xdr:col>
      <xdr:colOff>0</xdr:colOff>
      <xdr:row>15</xdr:row>
      <xdr:rowOff>0</xdr:rowOff>
    </xdr:to>
    <xdr:sp macro="" textlink="">
      <xdr:nvSpPr>
        <xdr:cNvPr id="67" name="Textfeld 225"/>
        <xdr:cNvSpPr txBox="1"/>
      </xdr:nvSpPr>
      <xdr:spPr>
        <a:xfrm>
          <a:off x="6617804" y="3048000"/>
          <a:ext cx="2319131" cy="140804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0715 - Appell</a:t>
          </a:r>
        </a:p>
      </xdr:txBody>
    </xdr:sp>
    <xdr:clientData/>
  </xdr:twoCellAnchor>
  <xdr:twoCellAnchor>
    <xdr:from>
      <xdr:col>7</xdr:col>
      <xdr:colOff>229913</xdr:colOff>
      <xdr:row>39</xdr:row>
      <xdr:rowOff>0</xdr:rowOff>
    </xdr:from>
    <xdr:to>
      <xdr:col>12</xdr:col>
      <xdr:colOff>0</xdr:colOff>
      <xdr:row>40</xdr:row>
      <xdr:rowOff>137092</xdr:rowOff>
    </xdr:to>
    <xdr:sp macro="" textlink="">
      <xdr:nvSpPr>
        <xdr:cNvPr id="75" name="Text 693"/>
        <xdr:cNvSpPr txBox="1">
          <a:spLocks noChangeArrowheads="1"/>
        </xdr:cNvSpPr>
      </xdr:nvSpPr>
      <xdr:spPr bwMode="auto">
        <a:xfrm>
          <a:off x="1828456" y="6568109"/>
          <a:ext cx="929653" cy="277896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Vs RUAG MELS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Kp Kdt</a:t>
          </a:r>
        </a:p>
      </xdr:txBody>
    </xdr:sp>
    <xdr:clientData/>
  </xdr:twoCellAnchor>
  <xdr:twoCellAnchor>
    <xdr:from>
      <xdr:col>11</xdr:col>
      <xdr:colOff>227670</xdr:colOff>
      <xdr:row>44</xdr:row>
      <xdr:rowOff>140804</xdr:rowOff>
    </xdr:from>
    <xdr:to>
      <xdr:col>14</xdr:col>
      <xdr:colOff>0</xdr:colOff>
      <xdr:row>48</xdr:row>
      <xdr:rowOff>140803</xdr:rowOff>
    </xdr:to>
    <xdr:sp macro="" textlink="">
      <xdr:nvSpPr>
        <xdr:cNvPr id="112" name="Text 693"/>
        <xdr:cNvSpPr txBox="1">
          <a:spLocks noChangeArrowheads="1"/>
        </xdr:cNvSpPr>
      </xdr:nvSpPr>
      <xdr:spPr bwMode="auto">
        <a:xfrm flipV="1">
          <a:off x="2753866" y="7412934"/>
          <a:ext cx="468069" cy="563217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Einr Ristl Z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Fw</a:t>
          </a:r>
        </a:p>
      </xdr:txBody>
    </xdr:sp>
    <xdr:clientData/>
  </xdr:twoCellAnchor>
  <xdr:twoCellAnchor>
    <xdr:from>
      <xdr:col>8</xdr:col>
      <xdr:colOff>0</xdr:colOff>
      <xdr:row>41</xdr:row>
      <xdr:rowOff>0</xdr:rowOff>
    </xdr:from>
    <xdr:to>
      <xdr:col>10</xdr:col>
      <xdr:colOff>0</xdr:colOff>
      <xdr:row>49</xdr:row>
      <xdr:rowOff>0</xdr:rowOff>
    </xdr:to>
    <xdr:sp macro="" textlink="">
      <xdr:nvSpPr>
        <xdr:cNvPr id="117" name="Textfeld 117"/>
        <xdr:cNvSpPr txBox="1"/>
      </xdr:nvSpPr>
      <xdr:spPr>
        <a:xfrm>
          <a:off x="1830457" y="6849717"/>
          <a:ext cx="463826" cy="11264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Fassung SIM PAB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+Bat KP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RUAG MELS</a:t>
          </a:r>
        </a:p>
      </xdr:txBody>
    </xdr:sp>
    <xdr:clientData/>
  </xdr:twoCellAnchor>
  <xdr:twoCellAnchor>
    <xdr:from>
      <xdr:col>12</xdr:col>
      <xdr:colOff>0</xdr:colOff>
      <xdr:row>49</xdr:row>
      <xdr:rowOff>0</xdr:rowOff>
    </xdr:from>
    <xdr:to>
      <xdr:col>14</xdr:col>
      <xdr:colOff>0</xdr:colOff>
      <xdr:row>55</xdr:row>
      <xdr:rowOff>0</xdr:rowOff>
    </xdr:to>
    <xdr:sp macro="" textlink="">
      <xdr:nvSpPr>
        <xdr:cNvPr id="143" name="Textfeld 117"/>
        <xdr:cNvSpPr txBox="1"/>
      </xdr:nvSpPr>
      <xdr:spPr>
        <a:xfrm>
          <a:off x="2758109" y="7976152"/>
          <a:ext cx="463826" cy="844826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ZiO / 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Fz Park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/>
          </a:r>
          <a:b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Fw / C VT</a:t>
          </a:r>
        </a:p>
      </xdr:txBody>
    </xdr:sp>
    <xdr:clientData/>
  </xdr:twoCellAnchor>
  <xdr:twoCellAnchor>
    <xdr:from>
      <xdr:col>4</xdr:col>
      <xdr:colOff>0</xdr:colOff>
      <xdr:row>38</xdr:row>
      <xdr:rowOff>140804</xdr:rowOff>
    </xdr:from>
    <xdr:to>
      <xdr:col>6</xdr:col>
      <xdr:colOff>0</xdr:colOff>
      <xdr:row>55</xdr:row>
      <xdr:rowOff>0</xdr:rowOff>
    </xdr:to>
    <xdr:sp macro="" textlink="">
      <xdr:nvSpPr>
        <xdr:cNvPr id="158" name="Textfeld 117"/>
        <xdr:cNvSpPr txBox="1"/>
      </xdr:nvSpPr>
      <xdr:spPr>
        <a:xfrm>
          <a:off x="902804" y="6568108"/>
          <a:ext cx="463826" cy="225287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/>
          </a:r>
          <a:b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Rm CASTELS</a:t>
          </a:r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12</xdr:col>
      <xdr:colOff>0</xdr:colOff>
      <xdr:row>51</xdr:row>
      <xdr:rowOff>0</xdr:rowOff>
    </xdr:to>
    <xdr:sp macro="" textlink="">
      <xdr:nvSpPr>
        <xdr:cNvPr id="169" name="Text 693"/>
        <xdr:cNvSpPr txBox="1">
          <a:spLocks noChangeArrowheads="1"/>
        </xdr:cNvSpPr>
      </xdr:nvSpPr>
      <xdr:spPr bwMode="auto">
        <a:xfrm>
          <a:off x="1830457" y="7976152"/>
          <a:ext cx="927652" cy="281609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Vs ÄULI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Zfhr</a:t>
          </a:r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8</xdr:col>
      <xdr:colOff>0</xdr:colOff>
      <xdr:row>59</xdr:row>
      <xdr:rowOff>0</xdr:rowOff>
    </xdr:to>
    <xdr:sp macro="" textlink="">
      <xdr:nvSpPr>
        <xdr:cNvPr id="178" name="Text 693"/>
        <xdr:cNvSpPr txBox="1">
          <a:spLocks noChangeArrowheads="1"/>
        </xdr:cNvSpPr>
      </xdr:nvSpPr>
      <xdr:spPr bwMode="auto">
        <a:xfrm>
          <a:off x="902804" y="8820978"/>
          <a:ext cx="927653" cy="563218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Reorg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(Ukft)</a:t>
          </a:r>
          <a:endParaRPr lang="fr-CH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Zfhr</a:t>
          </a:r>
        </a:p>
      </xdr:txBody>
    </xdr:sp>
    <xdr:clientData/>
  </xdr:twoCellAnchor>
  <xdr:twoCellAnchor>
    <xdr:from>
      <xdr:col>19</xdr:col>
      <xdr:colOff>231913</xdr:colOff>
      <xdr:row>18</xdr:row>
      <xdr:rowOff>0</xdr:rowOff>
    </xdr:from>
    <xdr:to>
      <xdr:col>22</xdr:col>
      <xdr:colOff>0</xdr:colOff>
      <xdr:row>23</xdr:row>
      <xdr:rowOff>140804</xdr:rowOff>
    </xdr:to>
    <xdr:sp macro="" textlink="">
      <xdr:nvSpPr>
        <xdr:cNvPr id="181" name="Textfeld 117"/>
        <xdr:cNvSpPr txBox="1"/>
      </xdr:nvSpPr>
      <xdr:spPr>
        <a:xfrm>
          <a:off x="4456043" y="3611217"/>
          <a:ext cx="463827" cy="844826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26</xdr:col>
      <xdr:colOff>0</xdr:colOff>
      <xdr:row>19</xdr:row>
      <xdr:rowOff>0</xdr:rowOff>
    </xdr:from>
    <xdr:to>
      <xdr:col>28</xdr:col>
      <xdr:colOff>0</xdr:colOff>
      <xdr:row>26</xdr:row>
      <xdr:rowOff>1</xdr:rowOff>
    </xdr:to>
    <xdr:sp macro="" textlink="">
      <xdr:nvSpPr>
        <xdr:cNvPr id="185" name="Textfeld 117"/>
        <xdr:cNvSpPr txBox="1"/>
      </xdr:nvSpPr>
      <xdr:spPr>
        <a:xfrm>
          <a:off x="5847522" y="3752022"/>
          <a:ext cx="463826" cy="985631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18</xdr:col>
      <xdr:colOff>0</xdr:colOff>
      <xdr:row>15</xdr:row>
      <xdr:rowOff>139212</xdr:rowOff>
    </xdr:from>
    <xdr:to>
      <xdr:col>24</xdr:col>
      <xdr:colOff>0</xdr:colOff>
      <xdr:row>18</xdr:row>
      <xdr:rowOff>0</xdr:rowOff>
    </xdr:to>
    <xdr:sp macro="" textlink="">
      <xdr:nvSpPr>
        <xdr:cNvPr id="186" name="Textfeld 117"/>
        <xdr:cNvSpPr txBox="1"/>
      </xdr:nvSpPr>
      <xdr:spPr>
        <a:xfrm>
          <a:off x="3992217" y="3328016"/>
          <a:ext cx="1391479" cy="283201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Befehlsausgabe 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"INIZIO"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Kp Kdt</a:t>
          </a:r>
        </a:p>
      </xdr:txBody>
    </xdr:sp>
    <xdr:clientData/>
  </xdr:twoCellAnchor>
  <xdr:twoCellAnchor>
    <xdr:from>
      <xdr:col>4</xdr:col>
      <xdr:colOff>0</xdr:colOff>
      <xdr:row>25</xdr:row>
      <xdr:rowOff>140803</xdr:rowOff>
    </xdr:from>
    <xdr:to>
      <xdr:col>12</xdr:col>
      <xdr:colOff>0</xdr:colOff>
      <xdr:row>28</xdr:row>
      <xdr:rowOff>140803</xdr:rowOff>
    </xdr:to>
    <xdr:sp macro="" textlink="">
      <xdr:nvSpPr>
        <xdr:cNvPr id="190" name="Textfeld 117"/>
        <xdr:cNvSpPr txBox="1"/>
      </xdr:nvSpPr>
      <xdr:spPr>
        <a:xfrm>
          <a:off x="902804" y="4737651"/>
          <a:ext cx="1855305" cy="422413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Einführung </a:t>
          </a:r>
          <a:b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de-CH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 "INIZIO"</a:t>
          </a:r>
          <a:endParaRPr lang="de-CH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0</xdr:colOff>
      <xdr:row>61</xdr:row>
      <xdr:rowOff>140804</xdr:rowOff>
    </xdr:from>
    <xdr:to>
      <xdr:col>8</xdr:col>
      <xdr:colOff>0</xdr:colOff>
      <xdr:row>66</xdr:row>
      <xdr:rowOff>0</xdr:rowOff>
    </xdr:to>
    <xdr:sp macro="" textlink="">
      <xdr:nvSpPr>
        <xdr:cNvPr id="193" name="Text 693"/>
        <xdr:cNvSpPr txBox="1">
          <a:spLocks noChangeArrowheads="1"/>
        </xdr:cNvSpPr>
      </xdr:nvSpPr>
      <xdr:spPr bwMode="auto">
        <a:xfrm>
          <a:off x="902804" y="9806608"/>
          <a:ext cx="927653" cy="563218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pers EV /</a:t>
          </a:r>
        </a:p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Kontr Ei Packung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Zfhr</a:t>
          </a:r>
        </a:p>
      </xdr:txBody>
    </xdr:sp>
    <xdr:clientData/>
  </xdr:twoCellAnchor>
  <xdr:twoCellAnchor>
    <xdr:from>
      <xdr:col>18</xdr:col>
      <xdr:colOff>0</xdr:colOff>
      <xdr:row>69</xdr:row>
      <xdr:rowOff>140804</xdr:rowOff>
    </xdr:from>
    <xdr:to>
      <xdr:col>26</xdr:col>
      <xdr:colOff>0</xdr:colOff>
      <xdr:row>76</xdr:row>
      <xdr:rowOff>140074</xdr:rowOff>
    </xdr:to>
    <xdr:sp macro="" textlink="">
      <xdr:nvSpPr>
        <xdr:cNvPr id="194" name="Textfeld 225"/>
        <xdr:cNvSpPr txBox="1"/>
      </xdr:nvSpPr>
      <xdr:spPr>
        <a:xfrm>
          <a:off x="3992217" y="10933043"/>
          <a:ext cx="1855305" cy="984901"/>
        </a:xfrm>
        <a:prstGeom prst="rect">
          <a:avLst/>
        </a:prstGeom>
        <a:solidFill>
          <a:sysClr val="window" lastClr="FFFFFF"/>
        </a:solidFill>
        <a:ln w="1270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900" b="1" i="0" u="none">
              <a:solidFill>
                <a:sysClr val="windowText" lastClr="000000"/>
              </a:solidFill>
              <a:latin typeface="Arial"/>
            </a:rPr>
            <a:t>Ausgang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(Ukft CASTELS)</a:t>
          </a:r>
        </a:p>
        <a:p>
          <a:pPr algn="ctr"/>
          <a:r>
            <a:rPr lang="de-CH" sz="800" b="0" i="0" u="none">
              <a:solidFill>
                <a:sysClr val="windowText" lastClr="000000"/>
              </a:solidFill>
              <a:latin typeface="Arial"/>
            </a:rPr>
            <a:t>Fw</a:t>
          </a:r>
        </a:p>
      </xdr:txBody>
    </xdr:sp>
    <xdr:clientData/>
  </xdr:twoCellAnchor>
  <xdr:twoCellAnchor>
    <xdr:from>
      <xdr:col>18</xdr:col>
      <xdr:colOff>0</xdr:colOff>
      <xdr:row>69</xdr:row>
      <xdr:rowOff>0</xdr:rowOff>
    </xdr:from>
    <xdr:to>
      <xdr:col>26</xdr:col>
      <xdr:colOff>0</xdr:colOff>
      <xdr:row>70</xdr:row>
      <xdr:rowOff>1</xdr:rowOff>
    </xdr:to>
    <xdr:sp macro="" textlink="">
      <xdr:nvSpPr>
        <xdr:cNvPr id="195" name="Textfeld 225"/>
        <xdr:cNvSpPr txBox="1"/>
      </xdr:nvSpPr>
      <xdr:spPr>
        <a:xfrm>
          <a:off x="3992217" y="10792239"/>
          <a:ext cx="1855305" cy="140805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2100 - Appell</a:t>
          </a:r>
        </a:p>
      </xdr:txBody>
    </xdr:sp>
    <xdr:clientData/>
  </xdr:twoCellAnchor>
  <xdr:twoCellAnchor>
    <xdr:from>
      <xdr:col>18</xdr:col>
      <xdr:colOff>0</xdr:colOff>
      <xdr:row>65</xdr:row>
      <xdr:rowOff>1</xdr:rowOff>
    </xdr:from>
    <xdr:to>
      <xdr:col>26</xdr:col>
      <xdr:colOff>0</xdr:colOff>
      <xdr:row>67</xdr:row>
      <xdr:rowOff>0</xdr:rowOff>
    </xdr:to>
    <xdr:sp macro="" textlink="">
      <xdr:nvSpPr>
        <xdr:cNvPr id="196" name="Text 693"/>
        <xdr:cNvSpPr txBox="1">
          <a:spLocks noChangeArrowheads="1"/>
        </xdr:cNvSpPr>
      </xdr:nvSpPr>
      <xdr:spPr bwMode="auto">
        <a:xfrm>
          <a:off x="3992217" y="10229023"/>
          <a:ext cx="1855305" cy="281607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ID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Fw</a:t>
          </a:r>
        </a:p>
      </xdr:txBody>
    </xdr:sp>
    <xdr:clientData/>
  </xdr:twoCellAnchor>
  <xdr:twoCellAnchor>
    <xdr:from>
      <xdr:col>18</xdr:col>
      <xdr:colOff>0</xdr:colOff>
      <xdr:row>67</xdr:row>
      <xdr:rowOff>0</xdr:rowOff>
    </xdr:from>
    <xdr:to>
      <xdr:col>26</xdr:col>
      <xdr:colOff>0</xdr:colOff>
      <xdr:row>68</xdr:row>
      <xdr:rowOff>138732</xdr:rowOff>
    </xdr:to>
    <xdr:sp macro="" textlink="">
      <xdr:nvSpPr>
        <xdr:cNvPr id="197" name="Text 693"/>
        <xdr:cNvSpPr txBox="1">
          <a:spLocks noChangeArrowheads="1"/>
        </xdr:cNvSpPr>
      </xdr:nvSpPr>
      <xdr:spPr bwMode="auto">
        <a:xfrm>
          <a:off x="3992217" y="10510630"/>
          <a:ext cx="1855305" cy="279537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Kontrolle Zimmerordnung (Ukft) Fw</a:t>
          </a:r>
        </a:p>
      </xdr:txBody>
    </xdr:sp>
    <xdr:clientData/>
  </xdr:twoCellAnchor>
  <xdr:twoCellAnchor>
    <xdr:from>
      <xdr:col>18</xdr:col>
      <xdr:colOff>1</xdr:colOff>
      <xdr:row>77</xdr:row>
      <xdr:rowOff>0</xdr:rowOff>
    </xdr:from>
    <xdr:to>
      <xdr:col>26</xdr:col>
      <xdr:colOff>0</xdr:colOff>
      <xdr:row>78</xdr:row>
      <xdr:rowOff>0</xdr:rowOff>
    </xdr:to>
    <xdr:sp macro="" textlink="">
      <xdr:nvSpPr>
        <xdr:cNvPr id="198" name="Textfeld 225"/>
        <xdr:cNvSpPr txBox="1"/>
      </xdr:nvSpPr>
      <xdr:spPr>
        <a:xfrm>
          <a:off x="3992218" y="11918674"/>
          <a:ext cx="1855304" cy="140804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18</xdr:col>
      <xdr:colOff>0</xdr:colOff>
      <xdr:row>51</xdr:row>
      <xdr:rowOff>0</xdr:rowOff>
    </xdr:from>
    <xdr:to>
      <xdr:col>26</xdr:col>
      <xdr:colOff>0</xdr:colOff>
      <xdr:row>57</xdr:row>
      <xdr:rowOff>0</xdr:rowOff>
    </xdr:to>
    <xdr:sp macro="" textlink="">
      <xdr:nvSpPr>
        <xdr:cNvPr id="199" name="Textfeld 117"/>
        <xdr:cNvSpPr txBox="1"/>
      </xdr:nvSpPr>
      <xdr:spPr>
        <a:xfrm>
          <a:off x="3992217" y="8257761"/>
          <a:ext cx="1855305" cy="844826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Reorganisation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Zfhr</a:t>
          </a:r>
        </a:p>
      </xdr:txBody>
    </xdr:sp>
    <xdr:clientData/>
  </xdr:twoCellAnchor>
  <xdr:twoCellAnchor>
    <xdr:from>
      <xdr:col>14</xdr:col>
      <xdr:colOff>0</xdr:colOff>
      <xdr:row>7</xdr:row>
      <xdr:rowOff>0</xdr:rowOff>
    </xdr:from>
    <xdr:to>
      <xdr:col>15</xdr:col>
      <xdr:colOff>0</xdr:colOff>
      <xdr:row>9</xdr:row>
      <xdr:rowOff>0</xdr:rowOff>
    </xdr:to>
    <xdr:sp macro="" textlink="">
      <xdr:nvSpPr>
        <xdr:cNvPr id="200" name="Textfeld 225"/>
        <xdr:cNvSpPr txBox="1"/>
      </xdr:nvSpPr>
      <xdr:spPr>
        <a:xfrm>
          <a:off x="3155156" y="205978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</a:t>
          </a:r>
        </a:p>
      </xdr:txBody>
    </xdr:sp>
    <xdr:clientData/>
  </xdr:twoCellAnchor>
  <xdr:twoCellAnchor>
    <xdr:from>
      <xdr:col>28</xdr:col>
      <xdr:colOff>0</xdr:colOff>
      <xdr:row>7</xdr:row>
      <xdr:rowOff>0</xdr:rowOff>
    </xdr:from>
    <xdr:to>
      <xdr:col>29</xdr:col>
      <xdr:colOff>1</xdr:colOff>
      <xdr:row>9</xdr:row>
      <xdr:rowOff>0</xdr:rowOff>
    </xdr:to>
    <xdr:sp macro="" textlink="">
      <xdr:nvSpPr>
        <xdr:cNvPr id="201" name="Textfeld 225"/>
        <xdr:cNvSpPr txBox="1"/>
      </xdr:nvSpPr>
      <xdr:spPr>
        <a:xfrm>
          <a:off x="6179344" y="205978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</a:t>
          </a:r>
        </a:p>
      </xdr:txBody>
    </xdr:sp>
    <xdr:clientData/>
  </xdr:twoCellAnchor>
  <xdr:twoCellAnchor>
    <xdr:from>
      <xdr:col>42</xdr:col>
      <xdr:colOff>0</xdr:colOff>
      <xdr:row>7</xdr:row>
      <xdr:rowOff>0</xdr:rowOff>
    </xdr:from>
    <xdr:to>
      <xdr:col>43</xdr:col>
      <xdr:colOff>0</xdr:colOff>
      <xdr:row>9</xdr:row>
      <xdr:rowOff>1</xdr:rowOff>
    </xdr:to>
    <xdr:sp macro="" textlink="">
      <xdr:nvSpPr>
        <xdr:cNvPr id="202" name="Textfeld 225"/>
        <xdr:cNvSpPr txBox="1"/>
      </xdr:nvSpPr>
      <xdr:spPr>
        <a:xfrm>
          <a:off x="9400761" y="2062370"/>
          <a:ext cx="248478" cy="281609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</a:t>
          </a:r>
        </a:p>
      </xdr:txBody>
    </xdr:sp>
    <xdr:clientData/>
  </xdr:twoCellAnchor>
  <xdr:twoCellAnchor>
    <xdr:from>
      <xdr:col>56</xdr:col>
      <xdr:colOff>0</xdr:colOff>
      <xdr:row>7</xdr:row>
      <xdr:rowOff>0</xdr:rowOff>
    </xdr:from>
    <xdr:to>
      <xdr:col>57</xdr:col>
      <xdr:colOff>1</xdr:colOff>
      <xdr:row>9</xdr:row>
      <xdr:rowOff>0</xdr:rowOff>
    </xdr:to>
    <xdr:sp macro="" textlink="">
      <xdr:nvSpPr>
        <xdr:cNvPr id="203" name="Textfeld 225"/>
        <xdr:cNvSpPr txBox="1"/>
      </xdr:nvSpPr>
      <xdr:spPr>
        <a:xfrm>
          <a:off x="12227719" y="205978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</a:t>
          </a:r>
        </a:p>
      </xdr:txBody>
    </xdr:sp>
    <xdr:clientData/>
  </xdr:twoCellAnchor>
  <xdr:twoCellAnchor>
    <xdr:from>
      <xdr:col>70</xdr:col>
      <xdr:colOff>0</xdr:colOff>
      <xdr:row>7</xdr:row>
      <xdr:rowOff>0</xdr:rowOff>
    </xdr:from>
    <xdr:to>
      <xdr:col>71</xdr:col>
      <xdr:colOff>0</xdr:colOff>
      <xdr:row>9</xdr:row>
      <xdr:rowOff>0</xdr:rowOff>
    </xdr:to>
    <xdr:sp macro="" textlink="">
      <xdr:nvSpPr>
        <xdr:cNvPr id="204" name="Textfeld 225"/>
        <xdr:cNvSpPr txBox="1"/>
      </xdr:nvSpPr>
      <xdr:spPr>
        <a:xfrm>
          <a:off x="15251906" y="2059781"/>
          <a:ext cx="250032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</a:t>
          </a:r>
        </a:p>
      </xdr:txBody>
    </xdr:sp>
    <xdr:clientData/>
  </xdr:twoCellAnchor>
  <xdr:twoCellAnchor>
    <xdr:from>
      <xdr:col>84</xdr:col>
      <xdr:colOff>0</xdr:colOff>
      <xdr:row>7</xdr:row>
      <xdr:rowOff>0</xdr:rowOff>
    </xdr:from>
    <xdr:to>
      <xdr:col>85</xdr:col>
      <xdr:colOff>0</xdr:colOff>
      <xdr:row>9</xdr:row>
      <xdr:rowOff>0</xdr:rowOff>
    </xdr:to>
    <xdr:sp macro="" textlink="">
      <xdr:nvSpPr>
        <xdr:cNvPr id="205" name="Textfeld 225"/>
        <xdr:cNvSpPr txBox="1"/>
      </xdr:nvSpPr>
      <xdr:spPr>
        <a:xfrm>
          <a:off x="18204656" y="2059781"/>
          <a:ext cx="220266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</a:t>
          </a:r>
        </a:p>
      </xdr:txBody>
    </xdr:sp>
    <xdr:clientData/>
  </xdr:twoCellAnchor>
  <xdr:twoCellAnchor>
    <xdr:from>
      <xdr:col>70</xdr:col>
      <xdr:colOff>0</xdr:colOff>
      <xdr:row>50</xdr:row>
      <xdr:rowOff>136922</xdr:rowOff>
    </xdr:from>
    <xdr:to>
      <xdr:col>71</xdr:col>
      <xdr:colOff>0</xdr:colOff>
      <xdr:row>53</xdr:row>
      <xdr:rowOff>0</xdr:rowOff>
    </xdr:to>
    <xdr:sp macro="" textlink="">
      <xdr:nvSpPr>
        <xdr:cNvPr id="212" name="Textfeld 225"/>
        <xdr:cNvSpPr txBox="1"/>
      </xdr:nvSpPr>
      <xdr:spPr>
        <a:xfrm>
          <a:off x="15579587" y="8253879"/>
          <a:ext cx="248478" cy="285491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chemeClr val="bg1"/>
              </a:solidFill>
              <a:latin typeface="Arial"/>
            </a:rPr>
            <a:t>41</a:t>
          </a:r>
        </a:p>
      </xdr:txBody>
    </xdr:sp>
    <xdr:clientData/>
  </xdr:twoCellAnchor>
  <xdr:twoCellAnchor>
    <xdr:from>
      <xdr:col>60</xdr:col>
      <xdr:colOff>0</xdr:colOff>
      <xdr:row>63</xdr:row>
      <xdr:rowOff>0</xdr:rowOff>
    </xdr:from>
    <xdr:to>
      <xdr:col>68</xdr:col>
      <xdr:colOff>0</xdr:colOff>
      <xdr:row>67</xdr:row>
      <xdr:rowOff>0</xdr:rowOff>
    </xdr:to>
    <xdr:sp macro="" textlink="">
      <xdr:nvSpPr>
        <xdr:cNvPr id="213" name="Textfeld 117"/>
        <xdr:cNvSpPr txBox="1"/>
      </xdr:nvSpPr>
      <xdr:spPr>
        <a:xfrm>
          <a:off x="13260457" y="9947413"/>
          <a:ext cx="1855304" cy="563217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Befehlsausgabe DHU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Kp Kdt</a:t>
          </a:r>
        </a:p>
      </xdr:txBody>
    </xdr:sp>
    <xdr:clientData/>
  </xdr:twoCellAnchor>
  <xdr:twoCellAnchor>
    <xdr:from>
      <xdr:col>70</xdr:col>
      <xdr:colOff>1</xdr:colOff>
      <xdr:row>73</xdr:row>
      <xdr:rowOff>0</xdr:rowOff>
    </xdr:from>
    <xdr:to>
      <xdr:col>70</xdr:col>
      <xdr:colOff>248478</xdr:colOff>
      <xdr:row>75</xdr:row>
      <xdr:rowOff>0</xdr:rowOff>
    </xdr:to>
    <xdr:sp macro="" textlink="">
      <xdr:nvSpPr>
        <xdr:cNvPr id="214" name="Textfeld 225"/>
        <xdr:cNvSpPr txBox="1"/>
      </xdr:nvSpPr>
      <xdr:spPr>
        <a:xfrm>
          <a:off x="15251907" y="11489531"/>
          <a:ext cx="248477" cy="28575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</a:t>
          </a:r>
        </a:p>
      </xdr:txBody>
    </xdr:sp>
    <xdr:clientData/>
  </xdr:twoCellAnchor>
  <xdr:twoCellAnchor>
    <xdr:from>
      <xdr:col>70</xdr:col>
      <xdr:colOff>0</xdr:colOff>
      <xdr:row>74</xdr:row>
      <xdr:rowOff>138733</xdr:rowOff>
    </xdr:from>
    <xdr:to>
      <xdr:col>70</xdr:col>
      <xdr:colOff>248478</xdr:colOff>
      <xdr:row>83</xdr:row>
      <xdr:rowOff>0</xdr:rowOff>
    </xdr:to>
    <xdr:sp macro="" textlink="">
      <xdr:nvSpPr>
        <xdr:cNvPr id="215" name="Textfeld 225"/>
        <xdr:cNvSpPr txBox="1"/>
      </xdr:nvSpPr>
      <xdr:spPr>
        <a:xfrm>
          <a:off x="15251906" y="11771139"/>
          <a:ext cx="248478" cy="1147142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Wochenend Wache</a:t>
          </a:r>
        </a:p>
      </xdr:txBody>
    </xdr:sp>
    <xdr:clientData/>
  </xdr:twoCellAnchor>
  <xdr:twoCellAnchor>
    <xdr:from>
      <xdr:col>60</xdr:col>
      <xdr:colOff>0</xdr:colOff>
      <xdr:row>12</xdr:row>
      <xdr:rowOff>144517</xdr:rowOff>
    </xdr:from>
    <xdr:to>
      <xdr:col>68</xdr:col>
      <xdr:colOff>0</xdr:colOff>
      <xdr:row>32</xdr:row>
      <xdr:rowOff>144516</xdr:rowOff>
    </xdr:to>
    <xdr:sp macro="" textlink="">
      <xdr:nvSpPr>
        <xdr:cNvPr id="216" name="Text 693"/>
        <xdr:cNvSpPr txBox="1">
          <a:spLocks noChangeArrowheads="1"/>
        </xdr:cNvSpPr>
      </xdr:nvSpPr>
      <xdr:spPr bwMode="auto">
        <a:xfrm flipV="1">
          <a:off x="13170776" y="2929758"/>
          <a:ext cx="1839310" cy="289034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fr-CH" sz="11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"CASA"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1. ROSSBODEN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2. LAYOUT KP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3. Ristl</a:t>
          </a:r>
          <a:b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4. FIS HE</a:t>
          </a:r>
        </a:p>
        <a:p>
          <a:pPr marL="0" indent="0" algn="ctr" rtl="0">
            <a:defRPr sz="1000"/>
          </a:pPr>
          <a:endParaRPr lang="fr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gem beso Bf</a:t>
          </a:r>
          <a:endParaRPr lang="de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marL="0" indent="0" algn="ctr" rtl="0">
            <a:defRPr sz="1000"/>
          </a:pPr>
          <a:endParaRPr lang="fr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71</xdr:col>
      <xdr:colOff>57978</xdr:colOff>
      <xdr:row>18</xdr:row>
      <xdr:rowOff>140804</xdr:rowOff>
    </xdr:from>
    <xdr:to>
      <xdr:col>82</xdr:col>
      <xdr:colOff>0</xdr:colOff>
      <xdr:row>26</xdr:row>
      <xdr:rowOff>0</xdr:rowOff>
    </xdr:to>
    <xdr:sp macro="" textlink="">
      <xdr:nvSpPr>
        <xdr:cNvPr id="217" name="Flussdiagramm: Dokument 212"/>
        <xdr:cNvSpPr/>
      </xdr:nvSpPr>
      <xdr:spPr bwMode="auto">
        <a:xfrm>
          <a:off x="15886043" y="3752021"/>
          <a:ext cx="2153479" cy="985631"/>
        </a:xfrm>
        <a:prstGeom prst="flowChartDocumen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 rtl="0"/>
          <a:r>
            <a:rPr lang="fr-CH" sz="8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anschl Urlaub bis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0"/>
          <a:r>
            <a:rPr lang="fr-CH" sz="11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Sonntag, 13.03.2016 2300</a:t>
          </a:r>
          <a:endParaRPr lang="de-C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 rtl="0"/>
          <a:r>
            <a:rPr lang="fr-CH" sz="8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CASTELS</a:t>
          </a:r>
          <a:endParaRPr lang="de-CH" sz="4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0</xdr:colOff>
      <xdr:row>39</xdr:row>
      <xdr:rowOff>1</xdr:rowOff>
    </xdr:from>
    <xdr:to>
      <xdr:col>7</xdr:col>
      <xdr:colOff>231913</xdr:colOff>
      <xdr:row>55</xdr:row>
      <xdr:rowOff>0</xdr:rowOff>
    </xdr:to>
    <xdr:sp macro="" textlink="">
      <xdr:nvSpPr>
        <xdr:cNvPr id="101" name="Textfeld 117"/>
        <xdr:cNvSpPr txBox="1"/>
      </xdr:nvSpPr>
      <xdr:spPr>
        <a:xfrm>
          <a:off x="1366630" y="6568110"/>
          <a:ext cx="463826" cy="225286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/>
          </a:r>
          <a:b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Rm CASTELS</a:t>
          </a:r>
        </a:p>
      </xdr:txBody>
    </xdr:sp>
    <xdr:clientData/>
  </xdr:twoCellAnchor>
  <xdr:twoCellAnchor>
    <xdr:from>
      <xdr:col>26</xdr:col>
      <xdr:colOff>0</xdr:colOff>
      <xdr:row>6</xdr:row>
      <xdr:rowOff>894521</xdr:rowOff>
    </xdr:from>
    <xdr:to>
      <xdr:col>27</xdr:col>
      <xdr:colOff>228771</xdr:colOff>
      <xdr:row>80</xdr:row>
      <xdr:rowOff>140803</xdr:rowOff>
    </xdr:to>
    <xdr:sp macro="" textlink="">
      <xdr:nvSpPr>
        <xdr:cNvPr id="103" name="Text 693"/>
        <xdr:cNvSpPr txBox="1">
          <a:spLocks noChangeArrowheads="1"/>
        </xdr:cNvSpPr>
      </xdr:nvSpPr>
      <xdr:spPr bwMode="auto">
        <a:xfrm flipV="1">
          <a:off x="5847522" y="2062369"/>
          <a:ext cx="460684" cy="10419521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unterstellt Ustü Kp gem beso Bf</a:t>
          </a:r>
        </a:p>
      </xdr:txBody>
    </xdr:sp>
    <xdr:clientData/>
  </xdr:twoCellAnchor>
  <xdr:twoCellAnchor>
    <xdr:from>
      <xdr:col>18</xdr:col>
      <xdr:colOff>0</xdr:colOff>
      <xdr:row>23</xdr:row>
      <xdr:rowOff>91109</xdr:rowOff>
    </xdr:from>
    <xdr:to>
      <xdr:col>19</xdr:col>
      <xdr:colOff>231913</xdr:colOff>
      <xdr:row>24</xdr:row>
      <xdr:rowOff>93180</xdr:rowOff>
    </xdr:to>
    <xdr:sp macro="" textlink="">
      <xdr:nvSpPr>
        <xdr:cNvPr id="107" name="Textfeld 117"/>
        <xdr:cNvSpPr txBox="1"/>
      </xdr:nvSpPr>
      <xdr:spPr>
        <a:xfrm>
          <a:off x="3992217" y="4406348"/>
          <a:ext cx="463826" cy="142875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Bf Ausg</a:t>
          </a:r>
        </a:p>
      </xdr:txBody>
    </xdr:sp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231913</xdr:colOff>
      <xdr:row>49</xdr:row>
      <xdr:rowOff>1</xdr:rowOff>
    </xdr:to>
    <xdr:sp macro="" textlink="">
      <xdr:nvSpPr>
        <xdr:cNvPr id="111" name="Textfeld 117"/>
        <xdr:cNvSpPr txBox="1"/>
      </xdr:nvSpPr>
      <xdr:spPr>
        <a:xfrm>
          <a:off x="3992217" y="4878457"/>
          <a:ext cx="463826" cy="309769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"INIZIO"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/>
          </a:r>
          <a:b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</a:b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Reko Ber ROSSBODEN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18</xdr:col>
      <xdr:colOff>0</xdr:colOff>
      <xdr:row>18</xdr:row>
      <xdr:rowOff>0</xdr:rowOff>
    </xdr:from>
    <xdr:to>
      <xdr:col>20</xdr:col>
      <xdr:colOff>1</xdr:colOff>
      <xdr:row>23</xdr:row>
      <xdr:rowOff>140804</xdr:rowOff>
    </xdr:to>
    <xdr:sp macro="" textlink="">
      <xdr:nvSpPr>
        <xdr:cNvPr id="121" name="Textfeld 117"/>
        <xdr:cNvSpPr txBox="1"/>
      </xdr:nvSpPr>
      <xdr:spPr>
        <a:xfrm>
          <a:off x="3992217" y="3611217"/>
          <a:ext cx="463827" cy="844826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19</xdr:col>
      <xdr:colOff>231913</xdr:colOff>
      <xdr:row>27</xdr:row>
      <xdr:rowOff>0</xdr:rowOff>
    </xdr:from>
    <xdr:to>
      <xdr:col>21</xdr:col>
      <xdr:colOff>231912</xdr:colOff>
      <xdr:row>49</xdr:row>
      <xdr:rowOff>0</xdr:rowOff>
    </xdr:to>
    <xdr:sp macro="" textlink="">
      <xdr:nvSpPr>
        <xdr:cNvPr id="131" name="Textfeld 117"/>
        <xdr:cNvSpPr txBox="1"/>
      </xdr:nvSpPr>
      <xdr:spPr>
        <a:xfrm>
          <a:off x="4456043" y="4878457"/>
          <a:ext cx="463826" cy="309769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"INIZIO"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Layout BAT KP</a:t>
          </a:r>
        </a:p>
      </xdr:txBody>
    </xdr:sp>
    <xdr:clientData/>
  </xdr:twoCellAnchor>
  <xdr:twoCellAnchor>
    <xdr:from>
      <xdr:col>22</xdr:col>
      <xdr:colOff>0</xdr:colOff>
      <xdr:row>27</xdr:row>
      <xdr:rowOff>0</xdr:rowOff>
    </xdr:from>
    <xdr:to>
      <xdr:col>24</xdr:col>
      <xdr:colOff>0</xdr:colOff>
      <xdr:row>49</xdr:row>
      <xdr:rowOff>0</xdr:rowOff>
    </xdr:to>
    <xdr:sp macro="" textlink="">
      <xdr:nvSpPr>
        <xdr:cNvPr id="132" name="Textfeld 117"/>
        <xdr:cNvSpPr txBox="1"/>
      </xdr:nvSpPr>
      <xdr:spPr>
        <a:xfrm>
          <a:off x="4919870" y="4878457"/>
          <a:ext cx="463826" cy="309769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"INIZIO"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Eskorte ROSSBODEN</a:t>
          </a:r>
          <a:endParaRPr lang="de-CH" sz="9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40</xdr:col>
      <xdr:colOff>0</xdr:colOff>
      <xdr:row>7</xdr:row>
      <xdr:rowOff>0</xdr:rowOff>
    </xdr:from>
    <xdr:to>
      <xdr:col>41</xdr:col>
      <xdr:colOff>228771</xdr:colOff>
      <xdr:row>81</xdr:row>
      <xdr:rowOff>0</xdr:rowOff>
    </xdr:to>
    <xdr:sp macro="" textlink="">
      <xdr:nvSpPr>
        <xdr:cNvPr id="159" name="Text 693"/>
        <xdr:cNvSpPr txBox="1">
          <a:spLocks noChangeArrowheads="1"/>
        </xdr:cNvSpPr>
      </xdr:nvSpPr>
      <xdr:spPr bwMode="auto">
        <a:xfrm flipV="1">
          <a:off x="8936935" y="2062370"/>
          <a:ext cx="460684" cy="10419521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unterstellt Ustü Kp gem beso Bf</a:t>
          </a:r>
        </a:p>
      </xdr:txBody>
    </xdr:sp>
    <xdr:clientData/>
  </xdr:twoCellAnchor>
  <xdr:twoCellAnchor>
    <xdr:from>
      <xdr:col>54</xdr:col>
      <xdr:colOff>0</xdr:colOff>
      <xdr:row>7</xdr:row>
      <xdr:rowOff>0</xdr:rowOff>
    </xdr:from>
    <xdr:to>
      <xdr:col>55</xdr:col>
      <xdr:colOff>228771</xdr:colOff>
      <xdr:row>81</xdr:row>
      <xdr:rowOff>0</xdr:rowOff>
    </xdr:to>
    <xdr:sp macro="" textlink="">
      <xdr:nvSpPr>
        <xdr:cNvPr id="160" name="Text 693"/>
        <xdr:cNvSpPr txBox="1">
          <a:spLocks noChangeArrowheads="1"/>
        </xdr:cNvSpPr>
      </xdr:nvSpPr>
      <xdr:spPr bwMode="auto">
        <a:xfrm flipV="1">
          <a:off x="12026348" y="2062370"/>
          <a:ext cx="460684" cy="10419521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unterstellt Ustü Kp gem beso Bf</a:t>
          </a:r>
        </a:p>
      </xdr:txBody>
    </xdr:sp>
    <xdr:clientData/>
  </xdr:twoCellAnchor>
  <xdr:twoCellAnchor>
    <xdr:from>
      <xdr:col>68</xdr:col>
      <xdr:colOff>0</xdr:colOff>
      <xdr:row>7</xdr:row>
      <xdr:rowOff>0</xdr:rowOff>
    </xdr:from>
    <xdr:to>
      <xdr:col>69</xdr:col>
      <xdr:colOff>228771</xdr:colOff>
      <xdr:row>77</xdr:row>
      <xdr:rowOff>0</xdr:rowOff>
    </xdr:to>
    <xdr:sp macro="" textlink="">
      <xdr:nvSpPr>
        <xdr:cNvPr id="164" name="Text 693"/>
        <xdr:cNvSpPr txBox="1">
          <a:spLocks noChangeArrowheads="1"/>
        </xdr:cNvSpPr>
      </xdr:nvSpPr>
      <xdr:spPr bwMode="auto">
        <a:xfrm flipV="1">
          <a:off x="15115761" y="2062370"/>
          <a:ext cx="460684" cy="9856304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unterstellt Ustü Kp gem beso Bf</a:t>
          </a:r>
        </a:p>
      </xdr:txBody>
    </xdr:sp>
    <xdr:clientData/>
  </xdr:twoCellAnchor>
  <xdr:twoCellAnchor>
    <xdr:from>
      <xdr:col>82</xdr:col>
      <xdr:colOff>0</xdr:colOff>
      <xdr:row>6</xdr:row>
      <xdr:rowOff>894520</xdr:rowOff>
    </xdr:from>
    <xdr:to>
      <xdr:col>84</xdr:col>
      <xdr:colOff>0</xdr:colOff>
      <xdr:row>38</xdr:row>
      <xdr:rowOff>140803</xdr:rowOff>
    </xdr:to>
    <xdr:sp macro="" textlink="">
      <xdr:nvSpPr>
        <xdr:cNvPr id="165" name="Text 693"/>
        <xdr:cNvSpPr txBox="1">
          <a:spLocks noChangeArrowheads="1"/>
        </xdr:cNvSpPr>
      </xdr:nvSpPr>
      <xdr:spPr bwMode="auto">
        <a:xfrm flipV="1">
          <a:off x="18039522" y="2062368"/>
          <a:ext cx="430695" cy="4505739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Ei unterstellt Ustü Kp gem beso Bf</a:t>
          </a:r>
        </a:p>
      </xdr:txBody>
    </xdr:sp>
    <xdr:clientData/>
  </xdr:twoCellAnchor>
  <xdr:twoCellAnchor>
    <xdr:from>
      <xdr:col>83</xdr:col>
      <xdr:colOff>215346</xdr:colOff>
      <xdr:row>8</xdr:row>
      <xdr:rowOff>140803</xdr:rowOff>
    </xdr:from>
    <xdr:to>
      <xdr:col>84</xdr:col>
      <xdr:colOff>215346</xdr:colOff>
      <xdr:row>38</xdr:row>
      <xdr:rowOff>140804</xdr:rowOff>
    </xdr:to>
    <xdr:sp macro="" textlink="">
      <xdr:nvSpPr>
        <xdr:cNvPr id="177" name="Textfeld 225"/>
        <xdr:cNvSpPr txBox="1"/>
      </xdr:nvSpPr>
      <xdr:spPr>
        <a:xfrm flipH="1">
          <a:off x="18470216" y="2343977"/>
          <a:ext cx="215347" cy="4224131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Wochenend Wache</a:t>
          </a:r>
        </a:p>
      </xdr:txBody>
    </xdr:sp>
    <xdr:clientData/>
  </xdr:twoCellAnchor>
  <xdr:twoCellAnchor>
    <xdr:from>
      <xdr:col>84</xdr:col>
      <xdr:colOff>0</xdr:colOff>
      <xdr:row>44</xdr:row>
      <xdr:rowOff>0</xdr:rowOff>
    </xdr:from>
    <xdr:to>
      <xdr:col>84</xdr:col>
      <xdr:colOff>215346</xdr:colOff>
      <xdr:row>83</xdr:row>
      <xdr:rowOff>0</xdr:rowOff>
    </xdr:to>
    <xdr:sp macro="" textlink="">
      <xdr:nvSpPr>
        <xdr:cNvPr id="191" name="Textfeld 225"/>
        <xdr:cNvSpPr txBox="1"/>
      </xdr:nvSpPr>
      <xdr:spPr>
        <a:xfrm flipH="1">
          <a:off x="18086294" y="7440706"/>
          <a:ext cx="215346" cy="5681382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algn="ctr"/>
          <a:r>
            <a:rPr lang="de-CH" sz="800" b="1" i="0" u="none" baseline="0">
              <a:solidFill>
                <a:sysClr val="windowText" lastClr="000000"/>
              </a:solidFill>
              <a:latin typeface="Arial"/>
            </a:rPr>
            <a:t>Wochenend Wache</a:t>
          </a:r>
        </a:p>
      </xdr:txBody>
    </xdr:sp>
    <xdr:clientData/>
  </xdr:twoCellAnchor>
  <xdr:twoCellAnchor>
    <xdr:from>
      <xdr:col>14</xdr:col>
      <xdr:colOff>0</xdr:colOff>
      <xdr:row>61</xdr:row>
      <xdr:rowOff>0</xdr:rowOff>
    </xdr:from>
    <xdr:to>
      <xdr:col>15</xdr:col>
      <xdr:colOff>0</xdr:colOff>
      <xdr:row>65</xdr:row>
      <xdr:rowOff>0</xdr:rowOff>
    </xdr:to>
    <xdr:sp macro="" textlink="">
      <xdr:nvSpPr>
        <xdr:cNvPr id="211" name="Textfeld 225"/>
        <xdr:cNvSpPr txBox="1"/>
      </xdr:nvSpPr>
      <xdr:spPr>
        <a:xfrm>
          <a:off x="3221935" y="9665804"/>
          <a:ext cx="248478" cy="563218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chemeClr val="bg1"/>
              </a:solidFill>
              <a:latin typeface="Arial"/>
            </a:rPr>
            <a:t>12</a:t>
          </a:r>
        </a:p>
      </xdr:txBody>
    </xdr:sp>
    <xdr:clientData/>
  </xdr:twoCellAnchor>
  <xdr:twoCellAnchor>
    <xdr:from>
      <xdr:col>18</xdr:col>
      <xdr:colOff>0</xdr:colOff>
      <xdr:row>60</xdr:row>
      <xdr:rowOff>144516</xdr:rowOff>
    </xdr:from>
    <xdr:to>
      <xdr:col>26</xdr:col>
      <xdr:colOff>0</xdr:colOff>
      <xdr:row>62</xdr:row>
      <xdr:rowOff>144517</xdr:rowOff>
    </xdr:to>
    <xdr:sp macro="" textlink="">
      <xdr:nvSpPr>
        <xdr:cNvPr id="218" name="Textfeld 117"/>
        <xdr:cNvSpPr txBox="1"/>
      </xdr:nvSpPr>
      <xdr:spPr>
        <a:xfrm>
          <a:off x="3967655" y="9866585"/>
          <a:ext cx="1839311" cy="28903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Einführung U "CASA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Extern</a:t>
          </a:r>
          <a:r>
            <a:rPr lang="de-CH" sz="8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endParaRPr lang="de-CH" sz="800" b="0" i="0" u="none" strike="noStrike" baseline="0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18</xdr:col>
      <xdr:colOff>0</xdr:colOff>
      <xdr:row>63</xdr:row>
      <xdr:rowOff>0</xdr:rowOff>
    </xdr:from>
    <xdr:to>
      <xdr:col>26</xdr:col>
      <xdr:colOff>0</xdr:colOff>
      <xdr:row>65</xdr:row>
      <xdr:rowOff>1592</xdr:rowOff>
    </xdr:to>
    <xdr:sp macro="" textlink="">
      <xdr:nvSpPr>
        <xdr:cNvPr id="219" name="Textfeld 117"/>
        <xdr:cNvSpPr txBox="1"/>
      </xdr:nvSpPr>
      <xdr:spPr>
        <a:xfrm>
          <a:off x="3992217" y="9947413"/>
          <a:ext cx="1855305" cy="283201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Befehlsausgabe U "CASA"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Kp Kdt</a:t>
          </a:r>
        </a:p>
      </xdr:txBody>
    </xdr:sp>
    <xdr:clientData/>
  </xdr:twoCellAnchor>
  <xdr:twoCellAnchor>
    <xdr:from>
      <xdr:col>4</xdr:col>
      <xdr:colOff>0</xdr:colOff>
      <xdr:row>14</xdr:row>
      <xdr:rowOff>140802</xdr:rowOff>
    </xdr:from>
    <xdr:to>
      <xdr:col>12</xdr:col>
      <xdr:colOff>0</xdr:colOff>
      <xdr:row>22</xdr:row>
      <xdr:rowOff>140803</xdr:rowOff>
    </xdr:to>
    <xdr:sp macro="" textlink="">
      <xdr:nvSpPr>
        <xdr:cNvPr id="125" name="Text 693"/>
        <xdr:cNvSpPr txBox="1">
          <a:spLocks noChangeArrowheads="1"/>
        </xdr:cNvSpPr>
      </xdr:nvSpPr>
      <xdr:spPr bwMode="auto">
        <a:xfrm flipV="1">
          <a:off x="902804" y="3188802"/>
          <a:ext cx="1855305" cy="1126436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Sport / Erkunden MELS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Zfhr</a:t>
          </a:r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12</xdr:col>
      <xdr:colOff>0</xdr:colOff>
      <xdr:row>24</xdr:row>
      <xdr:rowOff>137092</xdr:rowOff>
    </xdr:to>
    <xdr:sp macro="" textlink="">
      <xdr:nvSpPr>
        <xdr:cNvPr id="130" name="Text 693"/>
        <xdr:cNvSpPr txBox="1">
          <a:spLocks noChangeArrowheads="1"/>
        </xdr:cNvSpPr>
      </xdr:nvSpPr>
      <xdr:spPr bwMode="auto">
        <a:xfrm>
          <a:off x="902804" y="4315239"/>
          <a:ext cx="1855305" cy="277896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ID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Fw</a:t>
          </a:r>
        </a:p>
      </xdr:txBody>
    </xdr:sp>
    <xdr:clientData/>
  </xdr:twoCellAnchor>
  <xdr:twoCellAnchor>
    <xdr:from>
      <xdr:col>3</xdr:col>
      <xdr:colOff>231912</xdr:colOff>
      <xdr:row>36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47" name="Textfeld 117"/>
        <xdr:cNvSpPr txBox="1"/>
      </xdr:nvSpPr>
      <xdr:spPr>
        <a:xfrm>
          <a:off x="902803" y="6145696"/>
          <a:ext cx="463827" cy="422413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6</xdr:col>
      <xdr:colOff>0</xdr:colOff>
      <xdr:row>29</xdr:row>
      <xdr:rowOff>0</xdr:rowOff>
    </xdr:from>
    <xdr:to>
      <xdr:col>8</xdr:col>
      <xdr:colOff>2</xdr:colOff>
      <xdr:row>32</xdr:row>
      <xdr:rowOff>140804</xdr:rowOff>
    </xdr:to>
    <xdr:sp macro="" textlink="">
      <xdr:nvSpPr>
        <xdr:cNvPr id="148" name="Textfeld 117"/>
        <xdr:cNvSpPr txBox="1"/>
      </xdr:nvSpPr>
      <xdr:spPr>
        <a:xfrm>
          <a:off x="1366630" y="5160065"/>
          <a:ext cx="463829" cy="563217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60</xdr:col>
      <xdr:colOff>0</xdr:colOff>
      <xdr:row>77</xdr:row>
      <xdr:rowOff>0</xdr:rowOff>
    </xdr:from>
    <xdr:to>
      <xdr:col>70</xdr:col>
      <xdr:colOff>0</xdr:colOff>
      <xdr:row>78</xdr:row>
      <xdr:rowOff>0</xdr:rowOff>
    </xdr:to>
    <xdr:sp macro="" textlink="">
      <xdr:nvSpPr>
        <xdr:cNvPr id="187" name="Textfeld 225"/>
        <xdr:cNvSpPr txBox="1"/>
      </xdr:nvSpPr>
      <xdr:spPr>
        <a:xfrm>
          <a:off x="13260457" y="11918674"/>
          <a:ext cx="2319130" cy="140804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chemeClr val="bg1"/>
              </a:solidFill>
              <a:latin typeface="Arial"/>
            </a:rPr>
            <a:t>2300 - ABV</a:t>
          </a:r>
        </a:p>
      </xdr:txBody>
    </xdr:sp>
    <xdr:clientData/>
  </xdr:twoCellAnchor>
  <xdr:twoCellAnchor>
    <xdr:from>
      <xdr:col>18</xdr:col>
      <xdr:colOff>0</xdr:colOff>
      <xdr:row>30</xdr:row>
      <xdr:rowOff>140803</xdr:rowOff>
    </xdr:from>
    <xdr:to>
      <xdr:col>26</xdr:col>
      <xdr:colOff>0</xdr:colOff>
      <xdr:row>32</xdr:row>
      <xdr:rowOff>140804</xdr:rowOff>
    </xdr:to>
    <xdr:sp macro="" textlink="">
      <xdr:nvSpPr>
        <xdr:cNvPr id="106" name="Text 693"/>
        <xdr:cNvSpPr txBox="1">
          <a:spLocks noChangeArrowheads="1"/>
        </xdr:cNvSpPr>
      </xdr:nvSpPr>
      <xdr:spPr bwMode="auto">
        <a:xfrm flipV="1">
          <a:off x="3992217" y="5441673"/>
          <a:ext cx="1855305" cy="281609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Mittagessen</a:t>
          </a: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 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Four</a:t>
          </a:r>
        </a:p>
      </xdr:txBody>
    </xdr:sp>
    <xdr:clientData/>
  </xdr:twoCellAnchor>
  <xdr:twoCellAnchor>
    <xdr:from>
      <xdr:col>6</xdr:col>
      <xdr:colOff>0</xdr:colOff>
      <xdr:row>36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206" name="Textfeld 117"/>
        <xdr:cNvSpPr txBox="1"/>
      </xdr:nvSpPr>
      <xdr:spPr>
        <a:xfrm>
          <a:off x="1366630" y="6145696"/>
          <a:ext cx="463827" cy="422413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6</xdr:col>
      <xdr:colOff>1</xdr:colOff>
      <xdr:row>32</xdr:row>
      <xdr:rowOff>137092</xdr:rowOff>
    </xdr:to>
    <xdr:sp macro="" textlink="">
      <xdr:nvSpPr>
        <xdr:cNvPr id="207" name="Textfeld 117"/>
        <xdr:cNvSpPr txBox="1"/>
      </xdr:nvSpPr>
      <xdr:spPr>
        <a:xfrm>
          <a:off x="902804" y="5160065"/>
          <a:ext cx="463827" cy="559505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8</xdr:col>
      <xdr:colOff>0</xdr:colOff>
      <xdr:row>29</xdr:row>
      <xdr:rowOff>0</xdr:rowOff>
    </xdr:from>
    <xdr:to>
      <xdr:col>12</xdr:col>
      <xdr:colOff>0</xdr:colOff>
      <xdr:row>32</xdr:row>
      <xdr:rowOff>140804</xdr:rowOff>
    </xdr:to>
    <xdr:sp macro="" textlink="">
      <xdr:nvSpPr>
        <xdr:cNvPr id="208" name="Textfeld 117"/>
        <xdr:cNvSpPr txBox="1"/>
      </xdr:nvSpPr>
      <xdr:spPr>
        <a:xfrm>
          <a:off x="1830457" y="5160065"/>
          <a:ext cx="927652" cy="563217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Abgabe Stgw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Fw</a:t>
          </a:r>
        </a:p>
      </xdr:txBody>
    </xdr:sp>
    <xdr:clientData/>
  </xdr:twoCellAnchor>
  <xdr:twoCellAnchor>
    <xdr:from>
      <xdr:col>19</xdr:col>
      <xdr:colOff>0</xdr:colOff>
      <xdr:row>49</xdr:row>
      <xdr:rowOff>0</xdr:rowOff>
    </xdr:from>
    <xdr:to>
      <xdr:col>20</xdr:col>
      <xdr:colOff>0</xdr:colOff>
      <xdr:row>50</xdr:row>
      <xdr:rowOff>0</xdr:rowOff>
    </xdr:to>
    <xdr:sp macro="" textlink="">
      <xdr:nvSpPr>
        <xdr:cNvPr id="223" name="Textfeld 117"/>
        <xdr:cNvSpPr txBox="1"/>
      </xdr:nvSpPr>
      <xdr:spPr>
        <a:xfrm>
          <a:off x="4101353" y="8169088"/>
          <a:ext cx="224118" cy="1456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Vorb</a:t>
          </a:r>
        </a:p>
      </xdr:txBody>
    </xdr:sp>
    <xdr:clientData/>
  </xdr:twoCellAnchor>
  <xdr:twoCellAnchor>
    <xdr:from>
      <xdr:col>20</xdr:col>
      <xdr:colOff>221973</xdr:colOff>
      <xdr:row>49</xdr:row>
      <xdr:rowOff>0</xdr:rowOff>
    </xdr:from>
    <xdr:to>
      <xdr:col>21</xdr:col>
      <xdr:colOff>231912</xdr:colOff>
      <xdr:row>50</xdr:row>
      <xdr:rowOff>0</xdr:rowOff>
    </xdr:to>
    <xdr:sp macro="" textlink="">
      <xdr:nvSpPr>
        <xdr:cNvPr id="224" name="Textfeld 117"/>
        <xdr:cNvSpPr txBox="1"/>
      </xdr:nvSpPr>
      <xdr:spPr>
        <a:xfrm>
          <a:off x="4678016" y="7976152"/>
          <a:ext cx="241853" cy="14080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Vorb</a:t>
          </a:r>
        </a:p>
      </xdr:txBody>
    </xdr:sp>
    <xdr:clientData/>
  </xdr:twoCellAnchor>
  <xdr:twoCellAnchor>
    <xdr:from>
      <xdr:col>22</xdr:col>
      <xdr:colOff>215346</xdr:colOff>
      <xdr:row>49</xdr:row>
      <xdr:rowOff>0</xdr:rowOff>
    </xdr:from>
    <xdr:to>
      <xdr:col>24</xdr:col>
      <xdr:colOff>0</xdr:colOff>
      <xdr:row>50</xdr:row>
      <xdr:rowOff>0</xdr:rowOff>
    </xdr:to>
    <xdr:sp macro="" textlink="">
      <xdr:nvSpPr>
        <xdr:cNvPr id="225" name="Textfeld 117"/>
        <xdr:cNvSpPr txBox="1"/>
      </xdr:nvSpPr>
      <xdr:spPr>
        <a:xfrm>
          <a:off x="4989052" y="8169088"/>
          <a:ext cx="232889" cy="14567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Vorb</a:t>
          </a:r>
        </a:p>
      </xdr:txBody>
    </xdr:sp>
    <xdr:clientData/>
  </xdr:twoCellAnchor>
  <xdr:twoCellAnchor>
    <xdr:from>
      <xdr:col>18</xdr:col>
      <xdr:colOff>0</xdr:colOff>
      <xdr:row>48</xdr:row>
      <xdr:rowOff>140803</xdr:rowOff>
    </xdr:from>
    <xdr:to>
      <xdr:col>19</xdr:col>
      <xdr:colOff>0</xdr:colOff>
      <xdr:row>49</xdr:row>
      <xdr:rowOff>140804</xdr:rowOff>
    </xdr:to>
    <xdr:sp macro="" textlink="">
      <xdr:nvSpPr>
        <xdr:cNvPr id="227" name="Textfeld 117"/>
        <xdr:cNvSpPr txBox="1"/>
      </xdr:nvSpPr>
      <xdr:spPr>
        <a:xfrm rot="16200000">
          <a:off x="4037771" y="7930597"/>
          <a:ext cx="140805" cy="231913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AAR</a:t>
          </a:r>
        </a:p>
      </xdr:txBody>
    </xdr:sp>
    <xdr:clientData/>
  </xdr:twoCellAnchor>
  <xdr:twoCellAnchor>
    <xdr:from>
      <xdr:col>20</xdr:col>
      <xdr:colOff>0</xdr:colOff>
      <xdr:row>48</xdr:row>
      <xdr:rowOff>140802</xdr:rowOff>
    </xdr:from>
    <xdr:to>
      <xdr:col>21</xdr:col>
      <xdr:colOff>2</xdr:colOff>
      <xdr:row>49</xdr:row>
      <xdr:rowOff>145676</xdr:rowOff>
    </xdr:to>
    <xdr:sp macro="" textlink="">
      <xdr:nvSpPr>
        <xdr:cNvPr id="228" name="Textfeld 117"/>
        <xdr:cNvSpPr txBox="1"/>
      </xdr:nvSpPr>
      <xdr:spPr>
        <a:xfrm rot="16200000">
          <a:off x="4362256" y="8127429"/>
          <a:ext cx="150550" cy="224119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AAR</a:t>
          </a:r>
        </a:p>
      </xdr:txBody>
    </xdr:sp>
    <xdr:clientData/>
  </xdr:twoCellAnchor>
  <xdr:twoCellAnchor>
    <xdr:from>
      <xdr:col>22</xdr:col>
      <xdr:colOff>2</xdr:colOff>
      <xdr:row>48</xdr:row>
      <xdr:rowOff>140801</xdr:rowOff>
    </xdr:from>
    <xdr:to>
      <xdr:col>23</xdr:col>
      <xdr:colOff>2</xdr:colOff>
      <xdr:row>49</xdr:row>
      <xdr:rowOff>145676</xdr:rowOff>
    </xdr:to>
    <xdr:sp macro="" textlink="">
      <xdr:nvSpPr>
        <xdr:cNvPr id="229" name="Textfeld 117"/>
        <xdr:cNvSpPr txBox="1"/>
      </xdr:nvSpPr>
      <xdr:spPr>
        <a:xfrm rot="16200000">
          <a:off x="4810491" y="8127430"/>
          <a:ext cx="150551" cy="224118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AAR</a:t>
          </a:r>
        </a:p>
      </xdr:txBody>
    </xdr:sp>
    <xdr:clientData/>
  </xdr:twoCellAnchor>
  <xdr:twoCellAnchor>
    <xdr:from>
      <xdr:col>18</xdr:col>
      <xdr:colOff>0</xdr:colOff>
      <xdr:row>50</xdr:row>
      <xdr:rowOff>1</xdr:rowOff>
    </xdr:from>
    <xdr:to>
      <xdr:col>19</xdr:col>
      <xdr:colOff>231913</xdr:colOff>
      <xdr:row>51</xdr:row>
      <xdr:rowOff>1</xdr:rowOff>
    </xdr:to>
    <xdr:sp macro="" textlink="">
      <xdr:nvSpPr>
        <xdr:cNvPr id="231" name="Textfeld 117"/>
        <xdr:cNvSpPr txBox="1"/>
      </xdr:nvSpPr>
      <xdr:spPr>
        <a:xfrm>
          <a:off x="3992217" y="8116958"/>
          <a:ext cx="463826" cy="1408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Kritik</a:t>
          </a:r>
        </a:p>
      </xdr:txBody>
    </xdr:sp>
    <xdr:clientData/>
  </xdr:twoCellAnchor>
  <xdr:twoCellAnchor>
    <xdr:from>
      <xdr:col>19</xdr:col>
      <xdr:colOff>231912</xdr:colOff>
      <xdr:row>50</xdr:row>
      <xdr:rowOff>1</xdr:rowOff>
    </xdr:from>
    <xdr:to>
      <xdr:col>21</xdr:col>
      <xdr:colOff>231912</xdr:colOff>
      <xdr:row>51</xdr:row>
      <xdr:rowOff>1</xdr:rowOff>
    </xdr:to>
    <xdr:sp macro="" textlink="">
      <xdr:nvSpPr>
        <xdr:cNvPr id="232" name="Textfeld 117"/>
        <xdr:cNvSpPr txBox="1"/>
      </xdr:nvSpPr>
      <xdr:spPr>
        <a:xfrm>
          <a:off x="4456042" y="8116958"/>
          <a:ext cx="463827" cy="1408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Kritik</a:t>
          </a:r>
        </a:p>
      </xdr:txBody>
    </xdr:sp>
    <xdr:clientData/>
  </xdr:twoCellAnchor>
  <xdr:twoCellAnchor>
    <xdr:from>
      <xdr:col>22</xdr:col>
      <xdr:colOff>0</xdr:colOff>
      <xdr:row>50</xdr:row>
      <xdr:rowOff>1</xdr:rowOff>
    </xdr:from>
    <xdr:to>
      <xdr:col>24</xdr:col>
      <xdr:colOff>0</xdr:colOff>
      <xdr:row>51</xdr:row>
      <xdr:rowOff>1</xdr:rowOff>
    </xdr:to>
    <xdr:sp macro="" textlink="">
      <xdr:nvSpPr>
        <xdr:cNvPr id="233" name="Textfeld 117"/>
        <xdr:cNvSpPr txBox="1"/>
      </xdr:nvSpPr>
      <xdr:spPr>
        <a:xfrm>
          <a:off x="4919870" y="8116958"/>
          <a:ext cx="463826" cy="1408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Kritik</a:t>
          </a:r>
        </a:p>
      </xdr:txBody>
    </xdr:sp>
    <xdr:clientData/>
  </xdr:twoCellAnchor>
  <xdr:twoCellAnchor>
    <xdr:from>
      <xdr:col>18</xdr:col>
      <xdr:colOff>0</xdr:colOff>
      <xdr:row>23</xdr:row>
      <xdr:rowOff>140804</xdr:rowOff>
    </xdr:from>
    <xdr:to>
      <xdr:col>24</xdr:col>
      <xdr:colOff>0</xdr:colOff>
      <xdr:row>25</xdr:row>
      <xdr:rowOff>0</xdr:rowOff>
    </xdr:to>
    <xdr:sp macro="" textlink="">
      <xdr:nvSpPr>
        <xdr:cNvPr id="234" name="Text 693"/>
        <xdr:cNvSpPr txBox="1">
          <a:spLocks noChangeArrowheads="1"/>
        </xdr:cNvSpPr>
      </xdr:nvSpPr>
      <xdr:spPr bwMode="auto">
        <a:xfrm>
          <a:off x="3992217" y="4456043"/>
          <a:ext cx="1391479" cy="140805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gz Kp MBG IV</a:t>
          </a:r>
          <a:endParaRPr lang="fr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18</xdr:col>
      <xdr:colOff>0</xdr:colOff>
      <xdr:row>25</xdr:row>
      <xdr:rowOff>0</xdr:rowOff>
    </xdr:from>
    <xdr:to>
      <xdr:col>24</xdr:col>
      <xdr:colOff>0</xdr:colOff>
      <xdr:row>27</xdr:row>
      <xdr:rowOff>1592</xdr:rowOff>
    </xdr:to>
    <xdr:sp macro="" textlink="">
      <xdr:nvSpPr>
        <xdr:cNvPr id="235" name="Textfeld 117"/>
        <xdr:cNvSpPr txBox="1"/>
      </xdr:nvSpPr>
      <xdr:spPr>
        <a:xfrm>
          <a:off x="3992217" y="4596848"/>
          <a:ext cx="1391479" cy="283201"/>
        </a:xfrm>
        <a:prstGeom prst="rect">
          <a:avLst/>
        </a:prstGeom>
        <a:solidFill>
          <a:srgbClr val="FFFF00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Befehlsausgabe 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U "INIZIO" </a:t>
          </a: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Zfhr</a:t>
          </a:r>
        </a:p>
      </xdr:txBody>
    </xdr:sp>
    <xdr:clientData/>
  </xdr:twoCellAnchor>
  <xdr:twoCellAnchor>
    <xdr:from>
      <xdr:col>24</xdr:col>
      <xdr:colOff>0</xdr:colOff>
      <xdr:row>15</xdr:row>
      <xdr:rowOff>140804</xdr:rowOff>
    </xdr:from>
    <xdr:to>
      <xdr:col>25</xdr:col>
      <xdr:colOff>230999</xdr:colOff>
      <xdr:row>30</xdr:row>
      <xdr:rowOff>140803</xdr:rowOff>
    </xdr:to>
    <xdr:sp macro="" textlink="">
      <xdr:nvSpPr>
        <xdr:cNvPr id="236" name="Textfeld 117"/>
        <xdr:cNvSpPr txBox="1"/>
      </xdr:nvSpPr>
      <xdr:spPr>
        <a:xfrm>
          <a:off x="5383696" y="3329608"/>
          <a:ext cx="462912" cy="2112065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EBA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gem beso Bf</a:t>
          </a:r>
        </a:p>
      </xdr:txBody>
    </xdr:sp>
    <xdr:clientData/>
  </xdr:twoCellAnchor>
  <xdr:twoCellAnchor>
    <xdr:from>
      <xdr:col>28</xdr:col>
      <xdr:colOff>0</xdr:colOff>
      <xdr:row>66</xdr:row>
      <xdr:rowOff>0</xdr:rowOff>
    </xdr:from>
    <xdr:to>
      <xdr:col>29</xdr:col>
      <xdr:colOff>0</xdr:colOff>
      <xdr:row>69</xdr:row>
      <xdr:rowOff>0</xdr:rowOff>
    </xdr:to>
    <xdr:sp macro="" textlink="">
      <xdr:nvSpPr>
        <xdr:cNvPr id="237" name="Textfeld 225"/>
        <xdr:cNvSpPr txBox="1"/>
      </xdr:nvSpPr>
      <xdr:spPr>
        <a:xfrm>
          <a:off x="6311348" y="10369826"/>
          <a:ext cx="248478" cy="422413"/>
        </a:xfrm>
        <a:prstGeom prst="rect">
          <a:avLst/>
        </a:prstGeom>
        <a:solidFill>
          <a:schemeClr val="tx1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 baseline="0">
              <a:solidFill>
                <a:schemeClr val="bg1"/>
              </a:solidFill>
              <a:latin typeface="Arial"/>
            </a:rPr>
            <a:t>21</a:t>
          </a:r>
        </a:p>
      </xdr:txBody>
    </xdr:sp>
    <xdr:clientData/>
  </xdr:twoCellAnchor>
  <xdr:twoCellAnchor>
    <xdr:from>
      <xdr:col>18</xdr:col>
      <xdr:colOff>0</xdr:colOff>
      <xdr:row>57</xdr:row>
      <xdr:rowOff>0</xdr:rowOff>
    </xdr:from>
    <xdr:to>
      <xdr:col>26</xdr:col>
      <xdr:colOff>0</xdr:colOff>
      <xdr:row>60</xdr:row>
      <xdr:rowOff>2023</xdr:rowOff>
    </xdr:to>
    <xdr:sp macro="" textlink="">
      <xdr:nvSpPr>
        <xdr:cNvPr id="240" name="Text 693"/>
        <xdr:cNvSpPr txBox="1">
          <a:spLocks noChangeArrowheads="1"/>
        </xdr:cNvSpPr>
      </xdr:nvSpPr>
      <xdr:spPr bwMode="auto">
        <a:xfrm flipV="1">
          <a:off x="3992217" y="9102587"/>
          <a:ext cx="1855305" cy="424436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Nachtessen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Four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22</xdr:col>
      <xdr:colOff>1313</xdr:colOff>
      <xdr:row>11</xdr:row>
      <xdr:rowOff>0</xdr:rowOff>
    </xdr:to>
    <xdr:sp macro="" textlink="">
      <xdr:nvSpPr>
        <xdr:cNvPr id="241" name="Textfeld 225"/>
        <xdr:cNvSpPr txBox="1"/>
      </xdr:nvSpPr>
      <xdr:spPr>
        <a:xfrm>
          <a:off x="3528391" y="2343978"/>
          <a:ext cx="1392792" cy="28160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0600 - Frühstück</a:t>
          </a:r>
        </a:p>
      </xdr:txBody>
    </xdr:sp>
    <xdr:clientData/>
  </xdr:twoCellAnchor>
  <xdr:twoCellAnchor>
    <xdr:from>
      <xdr:col>22</xdr:col>
      <xdr:colOff>1312</xdr:colOff>
      <xdr:row>11</xdr:row>
      <xdr:rowOff>0</xdr:rowOff>
    </xdr:from>
    <xdr:to>
      <xdr:col>26</xdr:col>
      <xdr:colOff>0</xdr:colOff>
      <xdr:row>13</xdr:row>
      <xdr:rowOff>0</xdr:rowOff>
    </xdr:to>
    <xdr:sp macro="" textlink="">
      <xdr:nvSpPr>
        <xdr:cNvPr id="242" name="Textfeld 225"/>
        <xdr:cNvSpPr txBox="1"/>
      </xdr:nvSpPr>
      <xdr:spPr>
        <a:xfrm>
          <a:off x="4921182" y="2625587"/>
          <a:ext cx="926340" cy="28160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0630 - Frühstück</a:t>
          </a:r>
        </a:p>
      </xdr:txBody>
    </xdr:sp>
    <xdr:clientData/>
  </xdr:twoCellAnchor>
  <xdr:twoCellAnchor>
    <xdr:from>
      <xdr:col>30</xdr:col>
      <xdr:colOff>0</xdr:colOff>
      <xdr:row>9</xdr:row>
      <xdr:rowOff>0</xdr:rowOff>
    </xdr:from>
    <xdr:to>
      <xdr:col>36</xdr:col>
      <xdr:colOff>1313</xdr:colOff>
      <xdr:row>11</xdr:row>
      <xdr:rowOff>0</xdr:rowOff>
    </xdr:to>
    <xdr:sp macro="" textlink="">
      <xdr:nvSpPr>
        <xdr:cNvPr id="243" name="Textfeld 225"/>
        <xdr:cNvSpPr txBox="1"/>
      </xdr:nvSpPr>
      <xdr:spPr>
        <a:xfrm>
          <a:off x="6617804" y="2343978"/>
          <a:ext cx="1392792" cy="28160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0600 - Frühstück</a:t>
          </a:r>
        </a:p>
      </xdr:txBody>
    </xdr:sp>
    <xdr:clientData/>
  </xdr:twoCellAnchor>
  <xdr:twoCellAnchor>
    <xdr:from>
      <xdr:col>36</xdr:col>
      <xdr:colOff>1312</xdr:colOff>
      <xdr:row>11</xdr:row>
      <xdr:rowOff>0</xdr:rowOff>
    </xdr:from>
    <xdr:to>
      <xdr:col>40</xdr:col>
      <xdr:colOff>0</xdr:colOff>
      <xdr:row>13</xdr:row>
      <xdr:rowOff>0</xdr:rowOff>
    </xdr:to>
    <xdr:sp macro="" textlink="">
      <xdr:nvSpPr>
        <xdr:cNvPr id="244" name="Textfeld 225"/>
        <xdr:cNvSpPr txBox="1"/>
      </xdr:nvSpPr>
      <xdr:spPr>
        <a:xfrm>
          <a:off x="8010595" y="2625587"/>
          <a:ext cx="926340" cy="28160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0630 - Frühstück</a:t>
          </a:r>
        </a:p>
      </xdr:txBody>
    </xdr:sp>
    <xdr:clientData/>
  </xdr:twoCellAnchor>
  <xdr:twoCellAnchor>
    <xdr:from>
      <xdr:col>56</xdr:col>
      <xdr:colOff>0</xdr:colOff>
      <xdr:row>11</xdr:row>
      <xdr:rowOff>0</xdr:rowOff>
    </xdr:from>
    <xdr:to>
      <xdr:col>57</xdr:col>
      <xdr:colOff>0</xdr:colOff>
      <xdr:row>13</xdr:row>
      <xdr:rowOff>137711</xdr:rowOff>
    </xdr:to>
    <xdr:sp macro="" textlink="">
      <xdr:nvSpPr>
        <xdr:cNvPr id="245" name="Textfeld 193"/>
        <xdr:cNvSpPr txBox="1"/>
      </xdr:nvSpPr>
      <xdr:spPr>
        <a:xfrm>
          <a:off x="12490174" y="2625587"/>
          <a:ext cx="248478" cy="419320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71</xdr:col>
      <xdr:colOff>57978</xdr:colOff>
      <xdr:row>12</xdr:row>
      <xdr:rowOff>140803</xdr:rowOff>
    </xdr:from>
    <xdr:to>
      <xdr:col>82</xdr:col>
      <xdr:colOff>0</xdr:colOff>
      <xdr:row>15</xdr:row>
      <xdr:rowOff>140804</xdr:rowOff>
    </xdr:to>
    <xdr:sp macro="" textlink="">
      <xdr:nvSpPr>
        <xdr:cNvPr id="246" name="Text 693"/>
        <xdr:cNvSpPr txBox="1">
          <a:spLocks noChangeArrowheads="1"/>
        </xdr:cNvSpPr>
      </xdr:nvSpPr>
      <xdr:spPr bwMode="auto">
        <a:xfrm flipV="1">
          <a:off x="15886043" y="2907194"/>
          <a:ext cx="2153479" cy="422414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Rückblick / Ausblick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Kp Kdt</a:t>
          </a:r>
        </a:p>
      </xdr:txBody>
    </xdr:sp>
    <xdr:clientData/>
  </xdr:twoCellAnchor>
  <xdr:twoCellAnchor>
    <xdr:from>
      <xdr:col>83</xdr:col>
      <xdr:colOff>0</xdr:colOff>
      <xdr:row>75</xdr:row>
      <xdr:rowOff>0</xdr:rowOff>
    </xdr:from>
    <xdr:to>
      <xdr:col>84</xdr:col>
      <xdr:colOff>0</xdr:colOff>
      <xdr:row>77</xdr:row>
      <xdr:rowOff>0</xdr:rowOff>
    </xdr:to>
    <xdr:sp macro="" textlink="">
      <xdr:nvSpPr>
        <xdr:cNvPr id="247" name="Textfeld 193"/>
        <xdr:cNvSpPr txBox="1"/>
      </xdr:nvSpPr>
      <xdr:spPr>
        <a:xfrm>
          <a:off x="17862176" y="11956676"/>
          <a:ext cx="224118" cy="291353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KR</a:t>
          </a:r>
        </a:p>
      </xdr:txBody>
    </xdr:sp>
    <xdr:clientData/>
  </xdr:twoCellAnchor>
  <xdr:twoCellAnchor>
    <xdr:from>
      <xdr:col>60</xdr:col>
      <xdr:colOff>0</xdr:colOff>
      <xdr:row>55</xdr:row>
      <xdr:rowOff>0</xdr:rowOff>
    </xdr:from>
    <xdr:to>
      <xdr:col>68</xdr:col>
      <xdr:colOff>0</xdr:colOff>
      <xdr:row>55</xdr:row>
      <xdr:rowOff>140804</xdr:rowOff>
    </xdr:to>
    <xdr:sp macro="" textlink="">
      <xdr:nvSpPr>
        <xdr:cNvPr id="248" name="Text 693"/>
        <xdr:cNvSpPr txBox="1">
          <a:spLocks noChangeArrowheads="1"/>
        </xdr:cNvSpPr>
      </xdr:nvSpPr>
      <xdr:spPr bwMode="auto">
        <a:xfrm>
          <a:off x="13260457" y="8820978"/>
          <a:ext cx="1855304" cy="140804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gz Kp MBG IV</a:t>
          </a:r>
          <a:endParaRPr lang="fr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60</xdr:col>
      <xdr:colOff>1</xdr:colOff>
      <xdr:row>68</xdr:row>
      <xdr:rowOff>0</xdr:rowOff>
    </xdr:from>
    <xdr:to>
      <xdr:col>68</xdr:col>
      <xdr:colOff>1</xdr:colOff>
      <xdr:row>72</xdr:row>
      <xdr:rowOff>1</xdr:rowOff>
    </xdr:to>
    <xdr:sp macro="" textlink="">
      <xdr:nvSpPr>
        <xdr:cNvPr id="249" name="Text 693"/>
        <xdr:cNvSpPr txBox="1">
          <a:spLocks noChangeArrowheads="1"/>
        </xdr:cNvSpPr>
      </xdr:nvSpPr>
      <xdr:spPr bwMode="auto">
        <a:xfrm>
          <a:off x="13260458" y="10651435"/>
          <a:ext cx="1855304" cy="563218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pers EV</a:t>
          </a:r>
        </a:p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Kontrolle Packungen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Zfhr Stv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12</xdr:col>
      <xdr:colOff>0</xdr:colOff>
      <xdr:row>49</xdr:row>
      <xdr:rowOff>0</xdr:rowOff>
    </xdr:to>
    <xdr:sp macro="" textlink="">
      <xdr:nvSpPr>
        <xdr:cNvPr id="250" name="Textfeld 117"/>
        <xdr:cNvSpPr txBox="1"/>
      </xdr:nvSpPr>
      <xdr:spPr>
        <a:xfrm>
          <a:off x="2294283" y="6849717"/>
          <a:ext cx="463826" cy="11264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Fassung SIM PAB</a:t>
          </a:r>
        </a:p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+Bat KP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RUAG MELS</a:t>
          </a:r>
        </a:p>
      </xdr:txBody>
    </xdr:sp>
    <xdr:clientData/>
  </xdr:twoCellAnchor>
  <xdr:twoCellAnchor>
    <xdr:from>
      <xdr:col>4</xdr:col>
      <xdr:colOff>0</xdr:colOff>
      <xdr:row>68</xdr:row>
      <xdr:rowOff>0</xdr:rowOff>
    </xdr:from>
    <xdr:to>
      <xdr:col>7</xdr:col>
      <xdr:colOff>231913</xdr:colOff>
      <xdr:row>72</xdr:row>
      <xdr:rowOff>0</xdr:rowOff>
    </xdr:to>
    <xdr:sp macro="" textlink="">
      <xdr:nvSpPr>
        <xdr:cNvPr id="252" name="Text 693"/>
        <xdr:cNvSpPr txBox="1">
          <a:spLocks noChangeArrowheads="1"/>
        </xdr:cNvSpPr>
      </xdr:nvSpPr>
      <xdr:spPr bwMode="auto">
        <a:xfrm flipV="1">
          <a:off x="902804" y="10651435"/>
          <a:ext cx="927652" cy="563217"/>
        </a:xfrm>
        <a:prstGeom prst="rect">
          <a:avLst/>
        </a:prstGeom>
        <a:solidFill>
          <a:schemeClr val="bg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10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Zugschule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(CASTELS) 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Zfhr</a:t>
          </a:r>
        </a:p>
      </xdr:txBody>
    </xdr:sp>
    <xdr:clientData/>
  </xdr:twoCellAnchor>
  <xdr:twoCellAnchor>
    <xdr:from>
      <xdr:col>8</xdr:col>
      <xdr:colOff>0</xdr:colOff>
      <xdr:row>68</xdr:row>
      <xdr:rowOff>0</xdr:rowOff>
    </xdr:from>
    <xdr:to>
      <xdr:col>14</xdr:col>
      <xdr:colOff>0</xdr:colOff>
      <xdr:row>72</xdr:row>
      <xdr:rowOff>1</xdr:rowOff>
    </xdr:to>
    <xdr:sp macro="" textlink="">
      <xdr:nvSpPr>
        <xdr:cNvPr id="253" name="Text 693"/>
        <xdr:cNvSpPr txBox="1">
          <a:spLocks noChangeArrowheads="1"/>
        </xdr:cNvSpPr>
      </xdr:nvSpPr>
      <xdr:spPr bwMode="auto">
        <a:xfrm>
          <a:off x="1830457" y="10651435"/>
          <a:ext cx="1391478" cy="563218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pers EV /</a:t>
          </a:r>
        </a:p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Kontrolle Ei Packung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Zfhr</a:t>
          </a:r>
        </a:p>
      </xdr:txBody>
    </xdr:sp>
    <xdr:clientData/>
  </xdr:twoCellAnchor>
  <xdr:twoCellAnchor>
    <xdr:from>
      <xdr:col>4</xdr:col>
      <xdr:colOff>0</xdr:colOff>
      <xdr:row>73</xdr:row>
      <xdr:rowOff>0</xdr:rowOff>
    </xdr:from>
    <xdr:to>
      <xdr:col>14</xdr:col>
      <xdr:colOff>0</xdr:colOff>
      <xdr:row>74</xdr:row>
      <xdr:rowOff>0</xdr:rowOff>
    </xdr:to>
    <xdr:sp macro="" textlink="">
      <xdr:nvSpPr>
        <xdr:cNvPr id="254" name="Text 693"/>
        <xdr:cNvSpPr txBox="1">
          <a:spLocks noChangeArrowheads="1"/>
        </xdr:cNvSpPr>
      </xdr:nvSpPr>
      <xdr:spPr bwMode="auto">
        <a:xfrm>
          <a:off x="902804" y="11355457"/>
          <a:ext cx="2319131" cy="140804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gz Kp MBG I</a:t>
          </a:r>
          <a:endParaRPr lang="fr-CH" sz="8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14</xdr:col>
      <xdr:colOff>0</xdr:colOff>
      <xdr:row>17</xdr:row>
      <xdr:rowOff>0</xdr:rowOff>
    </xdr:from>
    <xdr:to>
      <xdr:col>15</xdr:col>
      <xdr:colOff>0</xdr:colOff>
      <xdr:row>19</xdr:row>
      <xdr:rowOff>0</xdr:rowOff>
    </xdr:to>
    <xdr:sp macro="" textlink="">
      <xdr:nvSpPr>
        <xdr:cNvPr id="255" name="Textfeld 193"/>
        <xdr:cNvSpPr txBox="1"/>
      </xdr:nvSpPr>
      <xdr:spPr>
        <a:xfrm>
          <a:off x="3221935" y="3470413"/>
          <a:ext cx="248478" cy="281609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DR</a:t>
          </a:r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0</xdr:colOff>
      <xdr:row>31</xdr:row>
      <xdr:rowOff>0</xdr:rowOff>
    </xdr:to>
    <xdr:sp macro="" textlink="">
      <xdr:nvSpPr>
        <xdr:cNvPr id="256" name="Textfeld 193"/>
        <xdr:cNvSpPr txBox="1"/>
      </xdr:nvSpPr>
      <xdr:spPr>
        <a:xfrm>
          <a:off x="6311348" y="5160065"/>
          <a:ext cx="248478" cy="281609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DR</a:t>
          </a:r>
        </a:p>
      </xdr:txBody>
    </xdr:sp>
    <xdr:clientData/>
  </xdr:twoCellAnchor>
  <xdr:twoCellAnchor>
    <xdr:from>
      <xdr:col>42</xdr:col>
      <xdr:colOff>0</xdr:colOff>
      <xdr:row>65</xdr:row>
      <xdr:rowOff>0</xdr:rowOff>
    </xdr:from>
    <xdr:to>
      <xdr:col>42</xdr:col>
      <xdr:colOff>246529</xdr:colOff>
      <xdr:row>67</xdr:row>
      <xdr:rowOff>0</xdr:rowOff>
    </xdr:to>
    <xdr:sp macro="" textlink="">
      <xdr:nvSpPr>
        <xdr:cNvPr id="257" name="Textfeld 193"/>
        <xdr:cNvSpPr txBox="1"/>
      </xdr:nvSpPr>
      <xdr:spPr>
        <a:xfrm>
          <a:off x="9110382" y="10499912"/>
          <a:ext cx="246529" cy="291353"/>
        </a:xfrm>
        <a:prstGeom prst="rect">
          <a:avLst/>
        </a:prstGeom>
        <a:solidFill>
          <a:schemeClr val="bg2">
            <a:lumMod val="90000"/>
          </a:schemeClr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vert270" lIns="0" tIns="0" rIns="0" bIns="0" rtlCol="0" anchor="ctr"/>
        <a:lstStyle/>
        <a:p>
          <a:pPr marL="0" indent="0" algn="ctr"/>
          <a:r>
            <a:rPr lang="en-US" sz="800" b="1" i="0" u="none" baseline="0">
              <a:solidFill>
                <a:sysClr val="windowText" lastClr="000000"/>
              </a:solidFill>
              <a:latin typeface="Arial"/>
              <a:ea typeface="+mn-ea"/>
              <a:cs typeface="+mn-cs"/>
            </a:rPr>
            <a:t>DR</a:t>
          </a:r>
        </a:p>
      </xdr:txBody>
    </xdr:sp>
    <xdr:clientData/>
  </xdr:twoCellAnchor>
  <xdr:twoCellAnchor>
    <xdr:from>
      <xdr:col>60</xdr:col>
      <xdr:colOff>1</xdr:colOff>
      <xdr:row>57</xdr:row>
      <xdr:rowOff>0</xdr:rowOff>
    </xdr:from>
    <xdr:to>
      <xdr:col>68</xdr:col>
      <xdr:colOff>1</xdr:colOff>
      <xdr:row>58</xdr:row>
      <xdr:rowOff>0</xdr:rowOff>
    </xdr:to>
    <xdr:sp macro="" textlink="">
      <xdr:nvSpPr>
        <xdr:cNvPr id="258" name="Text 693"/>
        <xdr:cNvSpPr txBox="1">
          <a:spLocks noChangeArrowheads="1"/>
        </xdr:cNvSpPr>
      </xdr:nvSpPr>
      <xdr:spPr bwMode="auto">
        <a:xfrm flipV="1">
          <a:off x="13260458" y="9102587"/>
          <a:ext cx="1855304" cy="140804"/>
        </a:xfrm>
        <a:prstGeom prst="rect">
          <a:avLst/>
        </a:prstGeom>
        <a:solidFill>
          <a:schemeClr val="tx1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800" b="1" i="0" u="none" strike="noStrike" baseline="0">
              <a:solidFill>
                <a:schemeClr val="bg1"/>
              </a:solidFill>
              <a:latin typeface="Arial"/>
              <a:ea typeface="+mn-ea"/>
              <a:cs typeface="Arial"/>
            </a:rPr>
            <a:t>1800 - Appell</a:t>
          </a:r>
          <a:endParaRPr lang="fr-CH" sz="900" b="0" i="0" u="none" strike="noStrike" baseline="0">
            <a:solidFill>
              <a:schemeClr val="bg1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71</xdr:col>
      <xdr:colOff>57978</xdr:colOff>
      <xdr:row>9</xdr:row>
      <xdr:rowOff>0</xdr:rowOff>
    </xdr:from>
    <xdr:to>
      <xdr:col>78</xdr:col>
      <xdr:colOff>0</xdr:colOff>
      <xdr:row>11</xdr:row>
      <xdr:rowOff>0</xdr:rowOff>
    </xdr:to>
    <xdr:sp macro="" textlink="">
      <xdr:nvSpPr>
        <xdr:cNvPr id="259" name="Textfeld 225"/>
        <xdr:cNvSpPr txBox="1"/>
      </xdr:nvSpPr>
      <xdr:spPr>
        <a:xfrm>
          <a:off x="15886043" y="2343978"/>
          <a:ext cx="1292087" cy="28160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0600 - Frühstück</a:t>
          </a:r>
        </a:p>
      </xdr:txBody>
    </xdr:sp>
    <xdr:clientData/>
  </xdr:twoCellAnchor>
  <xdr:twoCellAnchor>
    <xdr:from>
      <xdr:col>78</xdr:col>
      <xdr:colOff>0</xdr:colOff>
      <xdr:row>11</xdr:row>
      <xdr:rowOff>0</xdr:rowOff>
    </xdr:from>
    <xdr:to>
      <xdr:col>82</xdr:col>
      <xdr:colOff>0</xdr:colOff>
      <xdr:row>13</xdr:row>
      <xdr:rowOff>0</xdr:rowOff>
    </xdr:to>
    <xdr:sp macro="" textlink="">
      <xdr:nvSpPr>
        <xdr:cNvPr id="260" name="Textfeld 225"/>
        <xdr:cNvSpPr txBox="1"/>
      </xdr:nvSpPr>
      <xdr:spPr>
        <a:xfrm>
          <a:off x="17178130" y="2625587"/>
          <a:ext cx="861392" cy="281609"/>
        </a:xfrm>
        <a:prstGeom prst="rect">
          <a:avLst/>
        </a:prstGeom>
        <a:solidFill>
          <a:sysClr val="window" lastClr="FFFFFF"/>
        </a:solidFill>
        <a:ln w="63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lIns="0" tIns="0" rIns="0" bIns="0" rtlCol="0" anchor="ctr"/>
        <a:lstStyle/>
        <a:p>
          <a:pPr algn="ctr"/>
          <a:r>
            <a:rPr lang="de-CH" sz="800" b="1" i="0" u="none">
              <a:solidFill>
                <a:sysClr val="windowText" lastClr="000000"/>
              </a:solidFill>
              <a:latin typeface="Arial"/>
            </a:rPr>
            <a:t>0630 - Frühstück</a:t>
          </a:r>
        </a:p>
      </xdr:txBody>
    </xdr:sp>
    <xdr:clientData/>
  </xdr:twoCellAnchor>
  <xdr:twoCellAnchor editAs="oneCell">
    <xdr:from>
      <xdr:col>94</xdr:col>
      <xdr:colOff>19050</xdr:colOff>
      <xdr:row>83</xdr:row>
      <xdr:rowOff>104775</xdr:rowOff>
    </xdr:from>
    <xdr:to>
      <xdr:col>96</xdr:col>
      <xdr:colOff>314325</xdr:colOff>
      <xdr:row>86</xdr:row>
      <xdr:rowOff>152400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22545675" y="13020675"/>
          <a:ext cx="1819275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0</xdr:colOff>
      <xdr:row>55</xdr:row>
      <xdr:rowOff>1</xdr:rowOff>
    </xdr:from>
    <xdr:to>
      <xdr:col>14</xdr:col>
      <xdr:colOff>0</xdr:colOff>
      <xdr:row>59</xdr:row>
      <xdr:rowOff>0</xdr:rowOff>
    </xdr:to>
    <xdr:sp macro="" textlink="">
      <xdr:nvSpPr>
        <xdr:cNvPr id="133" name="Text 693"/>
        <xdr:cNvSpPr txBox="1">
          <a:spLocks noChangeArrowheads="1"/>
        </xdr:cNvSpPr>
      </xdr:nvSpPr>
      <xdr:spPr bwMode="auto">
        <a:xfrm>
          <a:off x="2758109" y="8820979"/>
          <a:ext cx="463826" cy="563217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Reorg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(Ukft)</a:t>
          </a:r>
          <a:endParaRPr lang="fr-CH" sz="900" b="0" i="0" u="none" strike="noStrike" baseline="0">
            <a:solidFill>
              <a:srgbClr val="000000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Zfhr</a:t>
          </a:r>
        </a:p>
      </xdr:txBody>
    </xdr:sp>
    <xdr:clientData/>
  </xdr:twoCellAnchor>
  <xdr:twoCellAnchor>
    <xdr:from>
      <xdr:col>8</xdr:col>
      <xdr:colOff>0</xdr:colOff>
      <xdr:row>51</xdr:row>
      <xdr:rowOff>0</xdr:rowOff>
    </xdr:from>
    <xdr:to>
      <xdr:col>10</xdr:col>
      <xdr:colOff>0</xdr:colOff>
      <xdr:row>61</xdr:row>
      <xdr:rowOff>0</xdr:rowOff>
    </xdr:to>
    <xdr:sp macro="" textlink="">
      <xdr:nvSpPr>
        <xdr:cNvPr id="134" name="Textfeld 117"/>
        <xdr:cNvSpPr txBox="1"/>
      </xdr:nvSpPr>
      <xdr:spPr>
        <a:xfrm>
          <a:off x="1830457" y="8257761"/>
          <a:ext cx="463826" cy="14080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LASSIM Ausb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ÄULI / PASCHGA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gem beso Bf</a:t>
          </a:r>
        </a:p>
      </xdr:txBody>
    </xdr:sp>
    <xdr:clientData/>
  </xdr:twoCellAnchor>
  <xdr:twoCellAnchor>
    <xdr:from>
      <xdr:col>12</xdr:col>
      <xdr:colOff>1</xdr:colOff>
      <xdr:row>59</xdr:row>
      <xdr:rowOff>0</xdr:rowOff>
    </xdr:from>
    <xdr:to>
      <xdr:col>14</xdr:col>
      <xdr:colOff>1</xdr:colOff>
      <xdr:row>62</xdr:row>
      <xdr:rowOff>0</xdr:rowOff>
    </xdr:to>
    <xdr:sp macro="" textlink="">
      <xdr:nvSpPr>
        <xdr:cNvPr id="135" name="Text 693"/>
        <xdr:cNvSpPr txBox="1">
          <a:spLocks noChangeArrowheads="1"/>
        </xdr:cNvSpPr>
      </xdr:nvSpPr>
      <xdr:spPr bwMode="auto">
        <a:xfrm flipV="1">
          <a:off x="2758110" y="9384196"/>
          <a:ext cx="463826" cy="422413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NaE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Four</a:t>
          </a:r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12</xdr:col>
      <xdr:colOff>1</xdr:colOff>
      <xdr:row>66</xdr:row>
      <xdr:rowOff>0</xdr:rowOff>
    </xdr:to>
    <xdr:sp macro="" textlink="">
      <xdr:nvSpPr>
        <xdr:cNvPr id="136" name="Text 693"/>
        <xdr:cNvSpPr txBox="1">
          <a:spLocks noChangeArrowheads="1"/>
        </xdr:cNvSpPr>
      </xdr:nvSpPr>
      <xdr:spPr bwMode="auto">
        <a:xfrm flipV="1">
          <a:off x="1830457" y="9947413"/>
          <a:ext cx="927653" cy="422413"/>
        </a:xfrm>
        <a:prstGeom prst="rect">
          <a:avLst/>
        </a:prstGeom>
        <a:solidFill>
          <a:schemeClr val="bg1">
            <a:lumMod val="85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Nachtessen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Four</a:t>
          </a:r>
        </a:p>
      </xdr:txBody>
    </xdr:sp>
    <xdr:clientData/>
  </xdr:twoCellAnchor>
  <xdr:twoCellAnchor>
    <xdr:from>
      <xdr:col>10</xdr:col>
      <xdr:colOff>0</xdr:colOff>
      <xdr:row>51</xdr:row>
      <xdr:rowOff>0</xdr:rowOff>
    </xdr:from>
    <xdr:to>
      <xdr:col>12</xdr:col>
      <xdr:colOff>0</xdr:colOff>
      <xdr:row>61</xdr:row>
      <xdr:rowOff>0</xdr:rowOff>
    </xdr:to>
    <xdr:sp macro="" textlink="">
      <xdr:nvSpPr>
        <xdr:cNvPr id="137" name="Textfeld 117"/>
        <xdr:cNvSpPr txBox="1"/>
      </xdr:nvSpPr>
      <xdr:spPr>
        <a:xfrm>
          <a:off x="2294283" y="8257761"/>
          <a:ext cx="463826" cy="140804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0" tIns="0" rIns="0" bIns="0" anchor="ctr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LASSIM Ausb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ÄULI / PASCHGA</a:t>
          </a:r>
        </a:p>
        <a:p>
          <a:pPr marL="0" indent="0" algn="ctr" rtl="0">
            <a:defRPr sz="1000"/>
          </a:pPr>
          <a:r>
            <a:rPr lang="de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gem beso Bf</a:t>
          </a:r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12</xdr:col>
      <xdr:colOff>0</xdr:colOff>
      <xdr:row>63</xdr:row>
      <xdr:rowOff>0</xdr:rowOff>
    </xdr:to>
    <xdr:sp macro="" textlink="">
      <xdr:nvSpPr>
        <xdr:cNvPr id="141" name="Text 693"/>
        <xdr:cNvSpPr txBox="1">
          <a:spLocks noChangeArrowheads="1"/>
        </xdr:cNvSpPr>
      </xdr:nvSpPr>
      <xdr:spPr bwMode="auto">
        <a:xfrm>
          <a:off x="1830457" y="9665804"/>
          <a:ext cx="927652" cy="281609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Vs CASTELS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Zfhr</a:t>
          </a:r>
        </a:p>
      </xdr:txBody>
    </xdr:sp>
    <xdr:clientData/>
  </xdr:twoCellAnchor>
  <xdr:twoCellAnchor>
    <xdr:from>
      <xdr:col>12</xdr:col>
      <xdr:colOff>1</xdr:colOff>
      <xdr:row>62</xdr:row>
      <xdr:rowOff>0</xdr:rowOff>
    </xdr:from>
    <xdr:to>
      <xdr:col>14</xdr:col>
      <xdr:colOff>1</xdr:colOff>
      <xdr:row>66</xdr:row>
      <xdr:rowOff>1</xdr:rowOff>
    </xdr:to>
    <xdr:sp macro="" textlink="">
      <xdr:nvSpPr>
        <xdr:cNvPr id="142" name="Text 693"/>
        <xdr:cNvSpPr txBox="1">
          <a:spLocks noChangeArrowheads="1"/>
        </xdr:cNvSpPr>
      </xdr:nvSpPr>
      <xdr:spPr bwMode="auto">
        <a:xfrm>
          <a:off x="2758110" y="9806609"/>
          <a:ext cx="463826" cy="563218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pers EV/</a:t>
          </a:r>
        </a:p>
        <a:p>
          <a:pPr marL="0" indent="0" algn="ctr" rtl="0">
            <a:defRPr sz="1000"/>
          </a:pPr>
          <a:r>
            <a:rPr lang="fr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Kontr Ei Pack</a:t>
          </a:r>
        </a:p>
        <a:p>
          <a:pPr marL="0" indent="0" algn="ctr" rtl="0">
            <a:defRPr sz="1000"/>
          </a:pPr>
          <a:r>
            <a:rPr lang="fr-CH" sz="8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(Ukft) Zfhr</a:t>
          </a:r>
        </a:p>
      </xdr:txBody>
    </xdr:sp>
    <xdr:clientData/>
  </xdr:twoCellAnchor>
  <xdr:twoCellAnchor>
    <xdr:from>
      <xdr:col>8</xdr:col>
      <xdr:colOff>0</xdr:colOff>
      <xdr:row>36</xdr:row>
      <xdr:rowOff>0</xdr:rowOff>
    </xdr:from>
    <xdr:to>
      <xdr:col>10</xdr:col>
      <xdr:colOff>1</xdr:colOff>
      <xdr:row>39</xdr:row>
      <xdr:rowOff>0</xdr:rowOff>
    </xdr:to>
    <xdr:sp macro="" textlink="">
      <xdr:nvSpPr>
        <xdr:cNvPr id="144" name="Textfeld 117"/>
        <xdr:cNvSpPr txBox="1"/>
      </xdr:nvSpPr>
      <xdr:spPr>
        <a:xfrm>
          <a:off x="1830457" y="6145696"/>
          <a:ext cx="463827" cy="422413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10</xdr:col>
      <xdr:colOff>0</xdr:colOff>
      <xdr:row>36</xdr:row>
      <xdr:rowOff>0</xdr:rowOff>
    </xdr:from>
    <xdr:to>
      <xdr:col>12</xdr:col>
      <xdr:colOff>1</xdr:colOff>
      <xdr:row>39</xdr:row>
      <xdr:rowOff>0</xdr:rowOff>
    </xdr:to>
    <xdr:sp macro="" textlink="">
      <xdr:nvSpPr>
        <xdr:cNvPr id="145" name="Textfeld 117"/>
        <xdr:cNvSpPr txBox="1"/>
      </xdr:nvSpPr>
      <xdr:spPr>
        <a:xfrm>
          <a:off x="2294283" y="6145696"/>
          <a:ext cx="463827" cy="422413"/>
        </a:xfrm>
        <a:prstGeom prst="rect">
          <a:avLst/>
        </a:prstGeom>
        <a:solidFill>
          <a:sysClr val="window" lastClr="FFFFFF"/>
        </a:solidFill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horz" wrap="square" lIns="0" tIns="0" rIns="0" bIns="0" anchor="ctr" anchorCtr="1" upright="1"/>
        <a:lstStyle/>
        <a:p>
          <a:pPr marL="0" indent="0" algn="ctr" rtl="0">
            <a:defRPr sz="1000"/>
          </a:pPr>
          <a:r>
            <a:rPr lang="de-CH" sz="900" b="1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EV</a:t>
          </a:r>
        </a:p>
      </xdr:txBody>
    </xdr:sp>
    <xdr:clientData/>
  </xdr:twoCellAnchor>
  <xdr:twoCellAnchor>
    <xdr:from>
      <xdr:col>33</xdr:col>
      <xdr:colOff>178593</xdr:colOff>
      <xdr:row>76</xdr:row>
      <xdr:rowOff>11906</xdr:rowOff>
    </xdr:from>
    <xdr:to>
      <xdr:col>39</xdr:col>
      <xdr:colOff>35719</xdr:colOff>
      <xdr:row>82</xdr:row>
      <xdr:rowOff>130969</xdr:rowOff>
    </xdr:to>
    <xdr:sp macro="" textlink="">
      <xdr:nvSpPr>
        <xdr:cNvPr id="2" name="Flussdiagramm: Dokument 1"/>
        <xdr:cNvSpPr/>
      </xdr:nvSpPr>
      <xdr:spPr>
        <a:xfrm>
          <a:off x="7346156" y="11930062"/>
          <a:ext cx="1214438" cy="976313"/>
        </a:xfrm>
        <a:prstGeom prst="flowChartDocumen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EM96"/>
  <sheetViews>
    <sheetView view="pageBreakPreview" zoomScale="80" zoomScaleNormal="100" zoomScaleSheetLayoutView="80" zoomScalePageLayoutView="90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BR35" sqref="BR35"/>
    </sheetView>
  </sheetViews>
  <sheetFormatPr baseColWidth="10" defaultRowHeight="12.75" x14ac:dyDescent="0.2"/>
  <cols>
    <col min="1" max="1" width="5.7109375" style="109" customWidth="1"/>
    <col min="2" max="2" width="0.85546875" style="109" customWidth="1"/>
    <col min="3" max="14" width="3.42578125" style="109" customWidth="1"/>
    <col min="15" max="15" width="3.7109375" style="109" customWidth="1"/>
    <col min="16" max="16" width="0.85546875" style="109" customWidth="1"/>
    <col min="17" max="28" width="3.42578125" style="109" customWidth="1"/>
    <col min="29" max="29" width="3.7109375" style="109" customWidth="1"/>
    <col min="30" max="30" width="0.85546875" style="109" customWidth="1"/>
    <col min="31" max="42" width="3.42578125" style="109" customWidth="1"/>
    <col min="43" max="43" width="3.7109375" style="109" customWidth="1"/>
    <col min="44" max="44" width="0.85546875" style="109" customWidth="1"/>
    <col min="45" max="56" width="3.42578125" style="109" customWidth="1"/>
    <col min="57" max="57" width="3.7109375" style="109" customWidth="1"/>
    <col min="58" max="58" width="0.85546875" style="109" customWidth="1"/>
    <col min="59" max="70" width="3.42578125" style="109" customWidth="1"/>
    <col min="71" max="71" width="3.7109375" style="109" customWidth="1"/>
    <col min="72" max="72" width="0.85546875" style="109" customWidth="1"/>
    <col min="73" max="85" width="3.28515625" style="109" customWidth="1"/>
    <col min="86" max="86" width="0.85546875" style="109" customWidth="1"/>
    <col min="87" max="87" width="5.7109375" style="109" customWidth="1"/>
    <col min="88" max="88" width="0.85546875" style="109" customWidth="1"/>
    <col min="89" max="89" width="2.7109375" style="109" customWidth="1"/>
    <col min="90" max="90" width="3.7109375" style="109" customWidth="1"/>
    <col min="91" max="91" width="18.7109375" style="109" customWidth="1"/>
    <col min="92" max="92" width="11.7109375" style="109" customWidth="1"/>
    <col min="93" max="93" width="4.28515625" style="109" customWidth="1"/>
    <col min="94" max="16384" width="11.42578125" style="109"/>
  </cols>
  <sheetData>
    <row r="1" spans="1:143" ht="18" x14ac:dyDescent="0.25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</row>
    <row r="2" spans="1:143" ht="20.100000000000001" customHeight="1" x14ac:dyDescent="0.25">
      <c r="A2" s="94" t="s">
        <v>99</v>
      </c>
      <c r="B2" s="94"/>
      <c r="C2" s="110"/>
      <c r="D2" s="110"/>
      <c r="E2" s="110"/>
      <c r="F2" s="110"/>
      <c r="G2" s="254" t="s">
        <v>96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  <c r="CG2" s="254"/>
      <c r="CH2" s="254"/>
      <c r="CI2" s="254"/>
      <c r="CJ2" s="254"/>
      <c r="CK2" s="254"/>
      <c r="CL2" s="254"/>
      <c r="CM2" s="254"/>
      <c r="CN2" s="255">
        <f ca="1">TODAY()</f>
        <v>43915</v>
      </c>
      <c r="CO2" s="255"/>
    </row>
    <row r="3" spans="1:143" s="114" customFormat="1" ht="20.100000000000001" customHeight="1" x14ac:dyDescent="0.25">
      <c r="A3" s="80" t="s">
        <v>34</v>
      </c>
      <c r="B3" s="80"/>
      <c r="C3" s="80"/>
      <c r="D3" s="80"/>
      <c r="E3" s="80"/>
      <c r="F3" s="80"/>
      <c r="G3" s="111"/>
      <c r="H3" s="256">
        <v>23</v>
      </c>
      <c r="I3" s="256"/>
      <c r="J3" s="111"/>
      <c r="K3" s="257" t="s">
        <v>94</v>
      </c>
      <c r="L3" s="257"/>
      <c r="M3" s="256" t="s">
        <v>95</v>
      </c>
      <c r="N3" s="256"/>
      <c r="O3" s="111"/>
      <c r="P3" s="112"/>
      <c r="Q3" s="111"/>
      <c r="R3" s="111"/>
      <c r="S3" s="80" t="s">
        <v>35</v>
      </c>
      <c r="T3" s="81"/>
      <c r="U3" s="258">
        <v>43983</v>
      </c>
      <c r="V3" s="258"/>
      <c r="W3" s="258"/>
      <c r="X3" s="258"/>
      <c r="Y3" s="258"/>
      <c r="Z3" s="259" t="s">
        <v>36</v>
      </c>
      <c r="AA3" s="259"/>
      <c r="AB3" s="259"/>
      <c r="AC3" s="260">
        <f>U3+6</f>
        <v>43989</v>
      </c>
      <c r="AD3" s="260"/>
      <c r="AE3" s="260"/>
      <c r="AF3" s="260"/>
      <c r="AG3" s="260"/>
      <c r="AH3" s="260"/>
      <c r="AI3" s="73"/>
      <c r="AJ3" s="73"/>
      <c r="AK3" s="74"/>
      <c r="AL3" s="74"/>
      <c r="AM3" s="74"/>
      <c r="AN3" s="113"/>
      <c r="AO3" s="76"/>
      <c r="AP3" s="76"/>
      <c r="AQ3" s="76"/>
      <c r="AR3" s="110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110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113"/>
      <c r="BR3" s="58"/>
      <c r="BS3" s="58"/>
      <c r="BT3" s="110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78"/>
      <c r="CM3" s="78"/>
      <c r="CN3" s="83"/>
      <c r="CO3" s="84" t="s">
        <v>147</v>
      </c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</row>
    <row r="4" spans="1:143" s="114" customFormat="1" ht="5.0999999999999996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115"/>
      <c r="L4" s="97"/>
      <c r="M4" s="97"/>
      <c r="N4" s="95"/>
      <c r="O4" s="95"/>
      <c r="P4" s="116"/>
      <c r="Q4" s="95"/>
      <c r="R4" s="99"/>
      <c r="S4" s="99"/>
      <c r="T4" s="99"/>
      <c r="U4" s="99"/>
      <c r="V4" s="99"/>
      <c r="W4" s="99"/>
      <c r="X4" s="99"/>
      <c r="Y4" s="99"/>
      <c r="Z4" s="100"/>
      <c r="AA4" s="115"/>
      <c r="AB4" s="101"/>
      <c r="AC4" s="101"/>
      <c r="AD4" s="101"/>
      <c r="AE4" s="101"/>
      <c r="AF4" s="101"/>
      <c r="AG4" s="101"/>
      <c r="AH4" s="101"/>
      <c r="AI4" s="101"/>
      <c r="AJ4" s="101"/>
      <c r="AK4" s="95"/>
      <c r="AL4" s="95"/>
      <c r="AM4" s="95"/>
      <c r="AN4" s="117"/>
      <c r="AO4" s="103"/>
      <c r="AP4" s="103"/>
      <c r="AQ4" s="103"/>
      <c r="AR4" s="116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16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17"/>
      <c r="BR4" s="104"/>
      <c r="BS4" s="104"/>
      <c r="BT4" s="116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5"/>
      <c r="CM4" s="105"/>
      <c r="CN4" s="105"/>
      <c r="CO4" s="106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</row>
    <row r="5" spans="1:143" ht="15" customHeight="1" x14ac:dyDescent="0.25">
      <c r="A5" s="248"/>
      <c r="B5" s="43"/>
      <c r="C5" s="250" t="s">
        <v>33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P5" s="118"/>
      <c r="Q5" s="250" t="s">
        <v>93</v>
      </c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2"/>
      <c r="AD5" s="118"/>
      <c r="AE5" s="250" t="s">
        <v>37</v>
      </c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2"/>
      <c r="AR5" s="118"/>
      <c r="AS5" s="250" t="s">
        <v>39</v>
      </c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2"/>
      <c r="BF5" s="118"/>
      <c r="BG5" s="250" t="s">
        <v>40</v>
      </c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2"/>
      <c r="BT5" s="118"/>
      <c r="BU5" s="250" t="s">
        <v>41</v>
      </c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2"/>
      <c r="CH5" s="71"/>
      <c r="CI5" s="248"/>
      <c r="CJ5" s="71"/>
      <c r="CK5" s="187" t="s">
        <v>43</v>
      </c>
      <c r="CL5" s="188"/>
      <c r="CM5" s="188"/>
      <c r="CN5" s="188"/>
      <c r="CO5" s="189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</row>
    <row r="6" spans="1:143" ht="15" customHeight="1" x14ac:dyDescent="0.2">
      <c r="A6" s="249"/>
      <c r="B6" s="90"/>
      <c r="C6" s="261">
        <f>U3</f>
        <v>43983</v>
      </c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3"/>
      <c r="P6" s="85"/>
      <c r="Q6" s="261">
        <f>$U$3+1</f>
        <v>43984</v>
      </c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3"/>
      <c r="AD6" s="85"/>
      <c r="AE6" s="261">
        <f>$U$3+2</f>
        <v>43985</v>
      </c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3"/>
      <c r="AR6" s="85"/>
      <c r="AS6" s="261">
        <f>$U$3+3</f>
        <v>43986</v>
      </c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3"/>
      <c r="BF6" s="85"/>
      <c r="BG6" s="261">
        <f>$U$3+4</f>
        <v>43987</v>
      </c>
      <c r="BH6" s="262"/>
      <c r="BI6" s="262"/>
      <c r="BJ6" s="262"/>
      <c r="BK6" s="262"/>
      <c r="BL6" s="262"/>
      <c r="BM6" s="262"/>
      <c r="BN6" s="262"/>
      <c r="BO6" s="262"/>
      <c r="BP6" s="262"/>
      <c r="BQ6" s="262"/>
      <c r="BR6" s="262"/>
      <c r="BS6" s="263"/>
      <c r="BT6" s="85"/>
      <c r="BU6" s="261">
        <f>$U$3+5</f>
        <v>43988</v>
      </c>
      <c r="BV6" s="262"/>
      <c r="BW6" s="262"/>
      <c r="BX6" s="262"/>
      <c r="BY6" s="262"/>
      <c r="BZ6" s="262"/>
      <c r="CA6" s="262"/>
      <c r="CB6" s="262"/>
      <c r="CC6" s="262"/>
      <c r="CD6" s="262"/>
      <c r="CE6" s="262"/>
      <c r="CF6" s="262"/>
      <c r="CG6" s="263"/>
      <c r="CH6" s="58"/>
      <c r="CI6" s="249"/>
      <c r="CJ6" s="58"/>
      <c r="CK6" s="190"/>
      <c r="CL6" s="191"/>
      <c r="CM6" s="191"/>
      <c r="CN6" s="191"/>
      <c r="CO6" s="19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</row>
    <row r="7" spans="1:143" ht="70.5" customHeight="1" x14ac:dyDescent="0.2">
      <c r="A7" s="39" t="s">
        <v>38</v>
      </c>
      <c r="B7" s="90"/>
      <c r="C7" s="240" t="s">
        <v>12</v>
      </c>
      <c r="D7" s="241"/>
      <c r="E7" s="242" t="s">
        <v>109</v>
      </c>
      <c r="F7" s="241"/>
      <c r="G7" s="243" t="s">
        <v>110</v>
      </c>
      <c r="H7" s="241"/>
      <c r="I7" s="242" t="s">
        <v>107</v>
      </c>
      <c r="J7" s="241"/>
      <c r="K7" s="242" t="s">
        <v>108</v>
      </c>
      <c r="L7" s="241"/>
      <c r="M7" s="126"/>
      <c r="N7" s="244" t="s">
        <v>1</v>
      </c>
      <c r="O7" s="245"/>
      <c r="P7" s="85"/>
      <c r="Q7" s="240" t="s">
        <v>12</v>
      </c>
      <c r="R7" s="241"/>
      <c r="S7" s="242" t="s">
        <v>106</v>
      </c>
      <c r="T7" s="241"/>
      <c r="U7" s="243" t="s">
        <v>22</v>
      </c>
      <c r="V7" s="241"/>
      <c r="W7" s="242" t="s">
        <v>107</v>
      </c>
      <c r="X7" s="241"/>
      <c r="Y7" s="242" t="s">
        <v>108</v>
      </c>
      <c r="Z7" s="241"/>
      <c r="AA7" s="126"/>
      <c r="AB7" s="244" t="s">
        <v>1</v>
      </c>
      <c r="AC7" s="245"/>
      <c r="AD7" s="85"/>
      <c r="AE7" s="240" t="s">
        <v>12</v>
      </c>
      <c r="AF7" s="241"/>
      <c r="AG7" s="242" t="s">
        <v>106</v>
      </c>
      <c r="AH7" s="241"/>
      <c r="AI7" s="243" t="s">
        <v>22</v>
      </c>
      <c r="AJ7" s="241"/>
      <c r="AK7" s="242" t="s">
        <v>107</v>
      </c>
      <c r="AL7" s="241"/>
      <c r="AM7" s="242" t="s">
        <v>108</v>
      </c>
      <c r="AN7" s="241"/>
      <c r="AO7" s="126"/>
      <c r="AP7" s="244" t="s">
        <v>1</v>
      </c>
      <c r="AQ7" s="245"/>
      <c r="AR7" s="85"/>
      <c r="AS7" s="240" t="s">
        <v>12</v>
      </c>
      <c r="AT7" s="241"/>
      <c r="AU7" s="242" t="s">
        <v>106</v>
      </c>
      <c r="AV7" s="241"/>
      <c r="AW7" s="243" t="s">
        <v>22</v>
      </c>
      <c r="AX7" s="241"/>
      <c r="AY7" s="242" t="s">
        <v>107</v>
      </c>
      <c r="AZ7" s="241"/>
      <c r="BA7" s="242" t="s">
        <v>108</v>
      </c>
      <c r="BB7" s="241"/>
      <c r="BC7" s="242"/>
      <c r="BD7" s="244"/>
      <c r="BE7" s="126" t="s">
        <v>1</v>
      </c>
      <c r="BF7" s="85"/>
      <c r="BG7" s="240" t="s">
        <v>12</v>
      </c>
      <c r="BH7" s="241"/>
      <c r="BI7" s="242" t="s">
        <v>106</v>
      </c>
      <c r="BJ7" s="241"/>
      <c r="BK7" s="243" t="s">
        <v>22</v>
      </c>
      <c r="BL7" s="241"/>
      <c r="BM7" s="242" t="s">
        <v>107</v>
      </c>
      <c r="BN7" s="241"/>
      <c r="BO7" s="242" t="s">
        <v>108</v>
      </c>
      <c r="BP7" s="241"/>
      <c r="BQ7" s="246"/>
      <c r="BR7" s="247"/>
      <c r="BS7" s="129" t="s">
        <v>1</v>
      </c>
      <c r="BT7" s="85"/>
      <c r="BU7" s="240" t="s">
        <v>12</v>
      </c>
      <c r="BV7" s="241"/>
      <c r="BW7" s="242" t="s">
        <v>106</v>
      </c>
      <c r="BX7" s="241"/>
      <c r="BY7" s="243" t="s">
        <v>22</v>
      </c>
      <c r="BZ7" s="241"/>
      <c r="CA7" s="242" t="s">
        <v>107</v>
      </c>
      <c r="CB7" s="241"/>
      <c r="CC7" s="242" t="s">
        <v>108</v>
      </c>
      <c r="CD7" s="241"/>
      <c r="CE7" s="126"/>
      <c r="CF7" s="244" t="s">
        <v>1</v>
      </c>
      <c r="CG7" s="245"/>
      <c r="CH7" s="58"/>
      <c r="CI7" s="39" t="s">
        <v>38</v>
      </c>
      <c r="CJ7" s="58"/>
      <c r="CK7" s="228" t="s">
        <v>155</v>
      </c>
      <c r="CL7" s="229"/>
      <c r="CM7" s="229"/>
      <c r="CN7" s="229"/>
      <c r="CO7" s="230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</row>
    <row r="8" spans="1:143" s="119" customFormat="1" ht="11.45" customHeight="1" x14ac:dyDescent="0.2">
      <c r="A8" s="182">
        <v>600</v>
      </c>
      <c r="B8" s="44"/>
      <c r="C8" s="5"/>
      <c r="D8" s="6"/>
      <c r="E8" s="6"/>
      <c r="F8" s="7"/>
      <c r="G8" s="8"/>
      <c r="H8" s="8"/>
      <c r="I8" s="8"/>
      <c r="J8" s="8"/>
      <c r="K8" s="8"/>
      <c r="L8" s="9"/>
      <c r="M8" s="9"/>
      <c r="N8" s="10"/>
      <c r="O8" s="11"/>
      <c r="P8" s="85"/>
      <c r="Q8" s="5"/>
      <c r="R8" s="6"/>
      <c r="S8" s="6"/>
      <c r="T8" s="6"/>
      <c r="U8" s="6"/>
      <c r="V8" s="6"/>
      <c r="W8" s="6"/>
      <c r="X8" s="7"/>
      <c r="Y8" s="8"/>
      <c r="Z8" s="8"/>
      <c r="AA8" s="9"/>
      <c r="AB8" s="10"/>
      <c r="AC8" s="11"/>
      <c r="AD8" s="85"/>
      <c r="AE8" s="5"/>
      <c r="AF8" s="6"/>
      <c r="AG8" s="6"/>
      <c r="AH8" s="6"/>
      <c r="AI8" s="6"/>
      <c r="AJ8" s="6"/>
      <c r="AK8" s="6"/>
      <c r="AL8" s="6"/>
      <c r="AM8" s="7"/>
      <c r="AN8" s="8"/>
      <c r="AO8" s="9"/>
      <c r="AP8" s="10"/>
      <c r="AQ8" s="11"/>
      <c r="AR8" s="85"/>
      <c r="AS8" s="5"/>
      <c r="AT8" s="6"/>
      <c r="AU8" s="6"/>
      <c r="AV8" s="6"/>
      <c r="AW8" s="6"/>
      <c r="AX8" s="6"/>
      <c r="AY8" s="6"/>
      <c r="AZ8" s="7"/>
      <c r="BA8" s="8"/>
      <c r="BB8" s="8"/>
      <c r="BC8" s="9"/>
      <c r="BD8" s="10"/>
      <c r="BE8" s="11"/>
      <c r="BF8" s="85"/>
      <c r="BG8" s="5"/>
      <c r="BH8" s="6"/>
      <c r="BI8" s="6"/>
      <c r="BJ8" s="6"/>
      <c r="BK8" s="6"/>
      <c r="BL8" s="6"/>
      <c r="BM8" s="6"/>
      <c r="BN8" s="6"/>
      <c r="BO8" s="7"/>
      <c r="BP8" s="8"/>
      <c r="BQ8" s="9"/>
      <c r="BR8" s="10"/>
      <c r="BS8" s="11"/>
      <c r="BT8" s="85"/>
      <c r="BU8" s="5"/>
      <c r="BV8" s="6"/>
      <c r="BW8" s="6"/>
      <c r="BX8" s="6"/>
      <c r="BY8" s="6"/>
      <c r="BZ8" s="6"/>
      <c r="CA8" s="6"/>
      <c r="CB8" s="7"/>
      <c r="CC8" s="8"/>
      <c r="CD8" s="8"/>
      <c r="CE8" s="9"/>
      <c r="CF8" s="10"/>
      <c r="CG8" s="11"/>
      <c r="CH8" s="61"/>
      <c r="CI8" s="182">
        <v>600</v>
      </c>
      <c r="CJ8" s="52"/>
      <c r="CK8" s="231" t="s">
        <v>156</v>
      </c>
      <c r="CL8" s="232"/>
      <c r="CM8" s="232"/>
      <c r="CN8" s="232"/>
      <c r="CO8" s="23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</row>
    <row r="9" spans="1:143" s="119" customFormat="1" ht="11.45" customHeight="1" x14ac:dyDescent="0.2">
      <c r="A9" s="182"/>
      <c r="B9" s="44"/>
      <c r="C9" s="12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5"/>
      <c r="P9" s="85"/>
      <c r="Q9" s="12"/>
      <c r="R9" s="13"/>
      <c r="S9" s="13"/>
      <c r="T9" s="13"/>
      <c r="U9" s="13"/>
      <c r="V9" s="13"/>
      <c r="W9" s="13"/>
      <c r="X9" s="14"/>
      <c r="Y9" s="14"/>
      <c r="Z9" s="14"/>
      <c r="AA9" s="14"/>
      <c r="AB9" s="14"/>
      <c r="AC9" s="15"/>
      <c r="AD9" s="85"/>
      <c r="AE9" s="12"/>
      <c r="AF9" s="13"/>
      <c r="AG9" s="13"/>
      <c r="AH9" s="13"/>
      <c r="AI9" s="13"/>
      <c r="AJ9" s="13"/>
      <c r="AK9" s="13"/>
      <c r="AL9" s="13"/>
      <c r="AM9" s="14"/>
      <c r="AN9" s="14"/>
      <c r="AO9" s="14"/>
      <c r="AP9" s="14"/>
      <c r="AQ9" s="15"/>
      <c r="AR9" s="85"/>
      <c r="AS9" s="12"/>
      <c r="AT9" s="13"/>
      <c r="AU9" s="13"/>
      <c r="AV9" s="13"/>
      <c r="AW9" s="13"/>
      <c r="AX9" s="13"/>
      <c r="AY9" s="13"/>
      <c r="AZ9" s="14"/>
      <c r="BA9" s="14"/>
      <c r="BB9" s="14"/>
      <c r="BC9" s="14"/>
      <c r="BD9" s="14"/>
      <c r="BE9" s="15"/>
      <c r="BF9" s="85"/>
      <c r="BG9" s="12"/>
      <c r="BH9" s="13"/>
      <c r="BI9" s="13"/>
      <c r="BJ9" s="13"/>
      <c r="BK9" s="13"/>
      <c r="BL9" s="13"/>
      <c r="BM9" s="13"/>
      <c r="BN9" s="13"/>
      <c r="BO9" s="14"/>
      <c r="BP9" s="14"/>
      <c r="BQ9" s="14"/>
      <c r="BR9" s="14"/>
      <c r="BS9" s="15"/>
      <c r="BT9" s="85"/>
      <c r="BU9" s="12"/>
      <c r="BV9" s="13"/>
      <c r="BW9" s="13"/>
      <c r="BX9" s="13"/>
      <c r="BY9" s="13"/>
      <c r="BZ9" s="13"/>
      <c r="CA9" s="13"/>
      <c r="CB9" s="14"/>
      <c r="CC9" s="14"/>
      <c r="CD9" s="14"/>
      <c r="CE9" s="14"/>
      <c r="CF9" s="14"/>
      <c r="CG9" s="15"/>
      <c r="CH9" s="61"/>
      <c r="CI9" s="182"/>
      <c r="CJ9" s="52"/>
      <c r="CK9" s="234"/>
      <c r="CL9" s="235"/>
      <c r="CM9" s="235"/>
      <c r="CN9" s="235"/>
      <c r="CO9" s="236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</row>
    <row r="10" spans="1:143" s="119" customFormat="1" ht="11.45" customHeight="1" x14ac:dyDescent="0.2">
      <c r="A10" s="182"/>
      <c r="B10" s="44"/>
      <c r="C10" s="5"/>
      <c r="D10" s="6"/>
      <c r="E10" s="6"/>
      <c r="F10" s="7"/>
      <c r="G10" s="8"/>
      <c r="H10" s="8"/>
      <c r="I10" s="8"/>
      <c r="J10" s="8"/>
      <c r="K10" s="8"/>
      <c r="L10" s="9"/>
      <c r="M10" s="9"/>
      <c r="N10" s="10"/>
      <c r="O10" s="11"/>
      <c r="P10" s="85"/>
      <c r="Q10" s="5"/>
      <c r="R10" s="6"/>
      <c r="S10" s="6"/>
      <c r="T10" s="6"/>
      <c r="U10" s="6"/>
      <c r="V10" s="6"/>
      <c r="W10" s="6"/>
      <c r="X10" s="7"/>
      <c r="Y10" s="8"/>
      <c r="Z10" s="8"/>
      <c r="AA10" s="9"/>
      <c r="AB10" s="10"/>
      <c r="AC10" s="11"/>
      <c r="AD10" s="85"/>
      <c r="AE10" s="5"/>
      <c r="AF10" s="6"/>
      <c r="AG10" s="6"/>
      <c r="AH10" s="6"/>
      <c r="AI10" s="6"/>
      <c r="AJ10" s="6"/>
      <c r="AK10" s="6"/>
      <c r="AL10" s="6"/>
      <c r="AM10" s="7"/>
      <c r="AN10" s="8"/>
      <c r="AO10" s="9"/>
      <c r="AP10" s="10"/>
      <c r="AQ10" s="11"/>
      <c r="AR10" s="85"/>
      <c r="AS10" s="5"/>
      <c r="AT10" s="6"/>
      <c r="AU10" s="6"/>
      <c r="AV10" s="6"/>
      <c r="AW10" s="6"/>
      <c r="AX10" s="6"/>
      <c r="AY10" s="6"/>
      <c r="AZ10" s="7"/>
      <c r="BA10" s="8"/>
      <c r="BB10" s="8"/>
      <c r="BC10" s="9"/>
      <c r="BD10" s="10"/>
      <c r="BE10" s="11"/>
      <c r="BF10" s="85"/>
      <c r="BG10" s="5"/>
      <c r="BH10" s="6"/>
      <c r="BI10" s="6"/>
      <c r="BJ10" s="6"/>
      <c r="BK10" s="6"/>
      <c r="BL10" s="6"/>
      <c r="BM10" s="6"/>
      <c r="BN10" s="6"/>
      <c r="BO10" s="7"/>
      <c r="BP10" s="8"/>
      <c r="BQ10" s="9"/>
      <c r="BR10" s="10"/>
      <c r="BS10" s="11"/>
      <c r="BT10" s="85"/>
      <c r="BU10" s="5"/>
      <c r="BV10" s="6"/>
      <c r="BW10" s="6"/>
      <c r="BX10" s="6"/>
      <c r="BY10" s="6"/>
      <c r="BZ10" s="6"/>
      <c r="CA10" s="6"/>
      <c r="CB10" s="7"/>
      <c r="CC10" s="8"/>
      <c r="CD10" s="8"/>
      <c r="CE10" s="9"/>
      <c r="CF10" s="10"/>
      <c r="CG10" s="11"/>
      <c r="CH10" s="61"/>
      <c r="CI10" s="182"/>
      <c r="CJ10" s="52"/>
      <c r="CK10" s="234"/>
      <c r="CL10" s="235"/>
      <c r="CM10" s="235"/>
      <c r="CN10" s="235"/>
      <c r="CO10" s="236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</row>
    <row r="11" spans="1:143" s="119" customFormat="1" ht="11.45" customHeight="1" x14ac:dyDescent="0.2">
      <c r="A11" s="182"/>
      <c r="B11" s="44"/>
      <c r="C11" s="12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85"/>
      <c r="Q11" s="12"/>
      <c r="R11" s="13"/>
      <c r="S11" s="13"/>
      <c r="T11" s="13"/>
      <c r="U11" s="13"/>
      <c r="V11" s="13"/>
      <c r="W11" s="13"/>
      <c r="X11" s="14"/>
      <c r="Y11" s="14"/>
      <c r="Z11" s="14"/>
      <c r="AA11" s="14"/>
      <c r="AB11" s="14"/>
      <c r="AC11" s="15"/>
      <c r="AD11" s="85"/>
      <c r="AE11" s="12"/>
      <c r="AF11" s="13"/>
      <c r="AG11" s="13"/>
      <c r="AH11" s="13"/>
      <c r="AI11" s="13"/>
      <c r="AJ11" s="13"/>
      <c r="AK11" s="13"/>
      <c r="AL11" s="13"/>
      <c r="AM11" s="14"/>
      <c r="AN11" s="14"/>
      <c r="AO11" s="14"/>
      <c r="AP11" s="14"/>
      <c r="AQ11" s="15"/>
      <c r="AR11" s="85"/>
      <c r="AS11" s="12"/>
      <c r="AT11" s="13"/>
      <c r="AU11" s="13"/>
      <c r="AV11" s="13"/>
      <c r="AW11" s="13"/>
      <c r="AX11" s="13"/>
      <c r="AY11" s="13"/>
      <c r="AZ11" s="14"/>
      <c r="BA11" s="14"/>
      <c r="BB11" s="14"/>
      <c r="BC11" s="14"/>
      <c r="BD11" s="14"/>
      <c r="BE11" s="15"/>
      <c r="BF11" s="85"/>
      <c r="BG11" s="12"/>
      <c r="BH11" s="13"/>
      <c r="BI11" s="13"/>
      <c r="BJ11" s="13"/>
      <c r="BK11" s="13"/>
      <c r="BL11" s="13"/>
      <c r="BM11" s="13"/>
      <c r="BN11" s="13"/>
      <c r="BO11" s="14"/>
      <c r="BP11" s="14"/>
      <c r="BQ11" s="14"/>
      <c r="BR11" s="14"/>
      <c r="BS11" s="15"/>
      <c r="BT11" s="85"/>
      <c r="BU11" s="12"/>
      <c r="BV11" s="13"/>
      <c r="BW11" s="13"/>
      <c r="BX11" s="13"/>
      <c r="BY11" s="13"/>
      <c r="BZ11" s="13"/>
      <c r="CA11" s="13"/>
      <c r="CB11" s="14"/>
      <c r="CC11" s="14"/>
      <c r="CD11" s="14"/>
      <c r="CE11" s="14"/>
      <c r="CF11" s="14"/>
      <c r="CG11" s="15"/>
      <c r="CH11" s="61"/>
      <c r="CI11" s="182"/>
      <c r="CJ11" s="52"/>
      <c r="CK11" s="237"/>
      <c r="CL11" s="238"/>
      <c r="CM11" s="238"/>
      <c r="CN11" s="238"/>
      <c r="CO11" s="239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1:143" s="119" customFormat="1" ht="11.45" customHeight="1" x14ac:dyDescent="0.2">
      <c r="A12" s="182">
        <v>700</v>
      </c>
      <c r="B12" s="44"/>
      <c r="C12" s="5"/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85"/>
      <c r="Q12" s="5"/>
      <c r="R12" s="9"/>
      <c r="S12" s="9"/>
      <c r="T12" s="9"/>
      <c r="U12" s="9"/>
      <c r="V12" s="9"/>
      <c r="W12" s="9"/>
      <c r="X12" s="10"/>
      <c r="Y12" s="10"/>
      <c r="Z12" s="10"/>
      <c r="AA12" s="10"/>
      <c r="AB12" s="10"/>
      <c r="AC12" s="11"/>
      <c r="AD12" s="85"/>
      <c r="AE12" s="5"/>
      <c r="AF12" s="9"/>
      <c r="AG12" s="9"/>
      <c r="AH12" s="9"/>
      <c r="AI12" s="9"/>
      <c r="AJ12" s="9"/>
      <c r="AK12" s="9"/>
      <c r="AL12" s="9"/>
      <c r="AM12" s="10"/>
      <c r="AN12" s="10"/>
      <c r="AO12" s="10"/>
      <c r="AP12" s="10"/>
      <c r="AQ12" s="11"/>
      <c r="AR12" s="85"/>
      <c r="AS12" s="5"/>
      <c r="AT12" s="9"/>
      <c r="AU12" s="9"/>
      <c r="AV12" s="9"/>
      <c r="AW12" s="9"/>
      <c r="AX12" s="9"/>
      <c r="AY12" s="9"/>
      <c r="AZ12" s="10"/>
      <c r="BA12" s="10"/>
      <c r="BB12" s="10"/>
      <c r="BC12" s="10"/>
      <c r="BD12" s="10"/>
      <c r="BE12" s="11"/>
      <c r="BF12" s="85"/>
      <c r="BG12" s="5"/>
      <c r="BH12" s="9"/>
      <c r="BI12" s="9"/>
      <c r="BJ12" s="9"/>
      <c r="BK12" s="9"/>
      <c r="BL12" s="9"/>
      <c r="BM12" s="9"/>
      <c r="BN12" s="9"/>
      <c r="BO12" s="10"/>
      <c r="BP12" s="10"/>
      <c r="BQ12" s="10"/>
      <c r="BR12" s="10"/>
      <c r="BS12" s="11"/>
      <c r="BT12" s="85"/>
      <c r="BU12" s="5"/>
      <c r="BV12" s="9"/>
      <c r="BW12" s="9"/>
      <c r="BX12" s="9"/>
      <c r="BY12" s="9"/>
      <c r="BZ12" s="9"/>
      <c r="CA12" s="9"/>
      <c r="CB12" s="10"/>
      <c r="CC12" s="10"/>
      <c r="CD12" s="10"/>
      <c r="CE12" s="10"/>
      <c r="CF12" s="10"/>
      <c r="CG12" s="11"/>
      <c r="CH12" s="61"/>
      <c r="CI12" s="182">
        <v>700</v>
      </c>
      <c r="CJ12" s="52"/>
      <c r="CK12" s="231" t="s">
        <v>157</v>
      </c>
      <c r="CL12" s="232"/>
      <c r="CM12" s="232"/>
      <c r="CN12" s="232"/>
      <c r="CO12" s="23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 s="119" customFormat="1" ht="11.45" customHeight="1" x14ac:dyDescent="0.2">
      <c r="A13" s="182"/>
      <c r="B13" s="44"/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4"/>
      <c r="O13" s="15"/>
      <c r="P13" s="85"/>
      <c r="Q13" s="12"/>
      <c r="R13" s="17"/>
      <c r="S13" s="17"/>
      <c r="T13" s="17"/>
      <c r="U13" s="17"/>
      <c r="V13" s="17"/>
      <c r="W13" s="17"/>
      <c r="X13" s="18"/>
      <c r="Y13" s="18"/>
      <c r="Z13" s="18"/>
      <c r="AA13" s="18"/>
      <c r="AB13" s="14"/>
      <c r="AC13" s="15"/>
      <c r="AD13" s="85"/>
      <c r="AE13" s="12"/>
      <c r="AF13" s="17"/>
      <c r="AG13" s="17"/>
      <c r="AH13" s="17"/>
      <c r="AI13" s="17"/>
      <c r="AJ13" s="17"/>
      <c r="AK13" s="17"/>
      <c r="AL13" s="17"/>
      <c r="AM13" s="18"/>
      <c r="AN13" s="18"/>
      <c r="AO13" s="18"/>
      <c r="AP13" s="18"/>
      <c r="AQ13" s="15"/>
      <c r="AR13" s="85"/>
      <c r="AS13" s="16"/>
      <c r="AT13" s="17"/>
      <c r="AU13" s="17"/>
      <c r="AV13" s="17"/>
      <c r="AW13" s="17"/>
      <c r="AX13" s="17"/>
      <c r="AY13" s="17"/>
      <c r="AZ13" s="18"/>
      <c r="BA13" s="18"/>
      <c r="BB13" s="18"/>
      <c r="BC13" s="18"/>
      <c r="BD13" s="18"/>
      <c r="BE13" s="15"/>
      <c r="BF13" s="85"/>
      <c r="BG13" s="16"/>
      <c r="BH13" s="17"/>
      <c r="BI13" s="17"/>
      <c r="BJ13" s="17"/>
      <c r="BK13" s="17"/>
      <c r="BL13" s="17"/>
      <c r="BM13" s="17"/>
      <c r="BN13" s="17"/>
      <c r="BO13" s="18"/>
      <c r="BP13" s="18"/>
      <c r="BQ13" s="18"/>
      <c r="BR13" s="18"/>
      <c r="BS13" s="15"/>
      <c r="BT13" s="85"/>
      <c r="BU13" s="16"/>
      <c r="BV13" s="17"/>
      <c r="BW13" s="17"/>
      <c r="BX13" s="17"/>
      <c r="BY13" s="17"/>
      <c r="BZ13" s="17"/>
      <c r="CA13" s="17"/>
      <c r="CB13" s="18"/>
      <c r="CC13" s="18"/>
      <c r="CD13" s="18"/>
      <c r="CE13" s="18"/>
      <c r="CF13" s="18"/>
      <c r="CG13" s="15"/>
      <c r="CH13" s="61"/>
      <c r="CI13" s="182"/>
      <c r="CJ13" s="52"/>
      <c r="CK13" s="234"/>
      <c r="CL13" s="235"/>
      <c r="CM13" s="235"/>
      <c r="CN13" s="235"/>
      <c r="CO13" s="236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 s="119" customFormat="1" ht="11.45" customHeight="1" x14ac:dyDescent="0.2">
      <c r="A14" s="182"/>
      <c r="B14" s="44"/>
      <c r="C14" s="19"/>
      <c r="D14" s="20"/>
      <c r="E14" s="20"/>
      <c r="F14" s="21"/>
      <c r="G14" s="21"/>
      <c r="H14" s="21"/>
      <c r="I14" s="21"/>
      <c r="J14" s="21"/>
      <c r="K14" s="21"/>
      <c r="L14" s="21"/>
      <c r="M14" s="21"/>
      <c r="N14" s="10"/>
      <c r="O14" s="11"/>
      <c r="P14" s="85"/>
      <c r="Q14" s="5"/>
      <c r="R14" s="20"/>
      <c r="S14" s="9"/>
      <c r="T14" s="9"/>
      <c r="U14" s="9"/>
      <c r="V14" s="9"/>
      <c r="W14" s="9"/>
      <c r="X14" s="10"/>
      <c r="Y14" s="10"/>
      <c r="Z14" s="10"/>
      <c r="AA14" s="10"/>
      <c r="AB14" s="10"/>
      <c r="AC14" s="11"/>
      <c r="AD14" s="85"/>
      <c r="AE14" s="5"/>
      <c r="AF14" s="20"/>
      <c r="AG14" s="20"/>
      <c r="AH14" s="20"/>
      <c r="AI14" s="20"/>
      <c r="AJ14" s="20"/>
      <c r="AK14" s="20"/>
      <c r="AL14" s="20"/>
      <c r="AM14" s="21"/>
      <c r="AN14" s="21"/>
      <c r="AO14" s="21"/>
      <c r="AP14" s="21"/>
      <c r="AQ14" s="11"/>
      <c r="AR14" s="85"/>
      <c r="AS14" s="19"/>
      <c r="AT14" s="20"/>
      <c r="AU14" s="20"/>
      <c r="AV14" s="20"/>
      <c r="AW14" s="20"/>
      <c r="AX14" s="20"/>
      <c r="AY14" s="20"/>
      <c r="AZ14" s="21"/>
      <c r="BA14" s="21"/>
      <c r="BB14" s="21"/>
      <c r="BC14" s="21"/>
      <c r="BD14" s="21"/>
      <c r="BE14" s="11"/>
      <c r="BF14" s="85"/>
      <c r="BG14" s="19"/>
      <c r="BH14" s="20"/>
      <c r="BI14" s="20"/>
      <c r="BJ14" s="20"/>
      <c r="BK14" s="20"/>
      <c r="BL14" s="20"/>
      <c r="BM14" s="20"/>
      <c r="BN14" s="20"/>
      <c r="BO14" s="21"/>
      <c r="BP14" s="21"/>
      <c r="BQ14" s="21"/>
      <c r="BR14" s="21"/>
      <c r="BS14" s="11"/>
      <c r="BT14" s="85"/>
      <c r="BU14" s="19"/>
      <c r="BV14" s="20"/>
      <c r="BW14" s="20"/>
      <c r="BX14" s="20"/>
      <c r="BY14" s="20"/>
      <c r="BZ14" s="20"/>
      <c r="CA14" s="20"/>
      <c r="CB14" s="21"/>
      <c r="CC14" s="21"/>
      <c r="CD14" s="21"/>
      <c r="CE14" s="21"/>
      <c r="CF14" s="21"/>
      <c r="CG14" s="11"/>
      <c r="CH14" s="61"/>
      <c r="CI14" s="182"/>
      <c r="CJ14" s="52"/>
      <c r="CK14" s="234"/>
      <c r="CL14" s="235"/>
      <c r="CM14" s="235"/>
      <c r="CN14" s="235"/>
      <c r="CO14" s="236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 s="119" customFormat="1" ht="11.45" customHeight="1" x14ac:dyDescent="0.2">
      <c r="A15" s="182"/>
      <c r="B15" s="44"/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4"/>
      <c r="O15" s="15"/>
      <c r="P15" s="85"/>
      <c r="Q15" s="12"/>
      <c r="R15" s="17"/>
      <c r="S15" s="13"/>
      <c r="T15" s="13"/>
      <c r="U15" s="13"/>
      <c r="V15" s="13"/>
      <c r="W15" s="13"/>
      <c r="X15" s="14"/>
      <c r="Y15" s="14"/>
      <c r="Z15" s="14"/>
      <c r="AA15" s="18"/>
      <c r="AB15" s="14"/>
      <c r="AC15" s="15"/>
      <c r="AD15" s="85"/>
      <c r="AE15" s="12"/>
      <c r="AF15" s="17"/>
      <c r="AG15" s="17"/>
      <c r="AH15" s="17"/>
      <c r="AI15" s="17"/>
      <c r="AJ15" s="17"/>
      <c r="AK15" s="17"/>
      <c r="AL15" s="17"/>
      <c r="AM15" s="18"/>
      <c r="AN15" s="18"/>
      <c r="AO15" s="18"/>
      <c r="AP15" s="18"/>
      <c r="AQ15" s="15"/>
      <c r="AR15" s="85"/>
      <c r="AS15" s="16"/>
      <c r="AT15" s="17"/>
      <c r="AU15" s="17"/>
      <c r="AV15" s="17"/>
      <c r="AW15" s="17"/>
      <c r="AX15" s="17"/>
      <c r="AY15" s="17"/>
      <c r="AZ15" s="18"/>
      <c r="BA15" s="18"/>
      <c r="BB15" s="18"/>
      <c r="BC15" s="18"/>
      <c r="BD15" s="18"/>
      <c r="BE15" s="15"/>
      <c r="BF15" s="85"/>
      <c r="BG15" s="16"/>
      <c r="BH15" s="17"/>
      <c r="BI15" s="17"/>
      <c r="BJ15" s="17"/>
      <c r="BK15" s="17"/>
      <c r="BL15" s="17"/>
      <c r="BM15" s="17"/>
      <c r="BN15" s="17"/>
      <c r="BO15" s="18"/>
      <c r="BP15" s="18"/>
      <c r="BQ15" s="18"/>
      <c r="BR15" s="18"/>
      <c r="BS15" s="15"/>
      <c r="BT15" s="85"/>
      <c r="BU15" s="16"/>
      <c r="BV15" s="17"/>
      <c r="BW15" s="17"/>
      <c r="BX15" s="17"/>
      <c r="BY15" s="17"/>
      <c r="BZ15" s="17"/>
      <c r="CA15" s="17"/>
      <c r="CB15" s="18"/>
      <c r="CC15" s="18"/>
      <c r="CD15" s="18"/>
      <c r="CE15" s="18"/>
      <c r="CF15" s="18"/>
      <c r="CG15" s="15"/>
      <c r="CH15" s="61"/>
      <c r="CI15" s="182"/>
      <c r="CJ15" s="52"/>
      <c r="CK15" s="237"/>
      <c r="CL15" s="238"/>
      <c r="CM15" s="238"/>
      <c r="CN15" s="238"/>
      <c r="CO15" s="239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 s="119" customFormat="1" ht="11.45" customHeight="1" x14ac:dyDescent="0.2">
      <c r="A16" s="182">
        <v>800</v>
      </c>
      <c r="B16" s="44"/>
      <c r="C16" s="5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85"/>
      <c r="Q16" s="5"/>
      <c r="R16" s="6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  <c r="AD16" s="85"/>
      <c r="AE16" s="5"/>
      <c r="AF16" s="9"/>
      <c r="AG16" s="9"/>
      <c r="AH16" s="9"/>
      <c r="AI16" s="9"/>
      <c r="AJ16" s="9"/>
      <c r="AK16" s="9"/>
      <c r="AL16" s="9"/>
      <c r="AM16" s="10"/>
      <c r="AN16" s="10"/>
      <c r="AO16" s="10"/>
      <c r="AP16" s="10"/>
      <c r="AQ16" s="11"/>
      <c r="AR16" s="85"/>
      <c r="AS16" s="5"/>
      <c r="AT16" s="9"/>
      <c r="AU16" s="9"/>
      <c r="AV16" s="9"/>
      <c r="AW16" s="9"/>
      <c r="AX16" s="9"/>
      <c r="AY16" s="9"/>
      <c r="AZ16" s="10"/>
      <c r="BA16" s="10"/>
      <c r="BB16" s="10"/>
      <c r="BC16" s="10"/>
      <c r="BD16" s="10"/>
      <c r="BE16" s="11"/>
      <c r="BF16" s="85"/>
      <c r="BG16" s="5"/>
      <c r="BH16" s="9"/>
      <c r="BI16" s="9"/>
      <c r="BJ16" s="9"/>
      <c r="BK16" s="9"/>
      <c r="BL16" s="9"/>
      <c r="BM16" s="9"/>
      <c r="BN16" s="9"/>
      <c r="BO16" s="10"/>
      <c r="BP16" s="10"/>
      <c r="BQ16" s="10"/>
      <c r="BR16" s="10"/>
      <c r="BS16" s="11"/>
      <c r="BT16" s="85"/>
      <c r="BU16" s="5"/>
      <c r="BV16" s="9"/>
      <c r="BW16" s="9"/>
      <c r="BX16" s="9"/>
      <c r="BY16" s="9"/>
      <c r="BZ16" s="9"/>
      <c r="CA16" s="9"/>
      <c r="CB16" s="10"/>
      <c r="CC16" s="10"/>
      <c r="CD16" s="10"/>
      <c r="CE16" s="10"/>
      <c r="CF16" s="10"/>
      <c r="CG16" s="11"/>
      <c r="CH16" s="61"/>
      <c r="CI16" s="182">
        <v>800</v>
      </c>
      <c r="CJ16" s="52"/>
      <c r="CK16" s="187" t="s">
        <v>44</v>
      </c>
      <c r="CL16" s="188"/>
      <c r="CM16" s="188"/>
      <c r="CN16" s="188"/>
      <c r="CO16" s="189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1:143" s="119" customFormat="1" ht="11.45" customHeight="1" x14ac:dyDescent="0.2">
      <c r="A17" s="182"/>
      <c r="B17" s="44"/>
      <c r="C17" s="12"/>
      <c r="D17" s="13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85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4"/>
      <c r="AC17" s="15"/>
      <c r="AD17" s="85"/>
      <c r="AE17" s="12"/>
      <c r="AF17" s="13"/>
      <c r="AG17" s="13"/>
      <c r="AH17" s="13"/>
      <c r="AI17" s="13"/>
      <c r="AJ17" s="13"/>
      <c r="AK17" s="13"/>
      <c r="AL17" s="13"/>
      <c r="AM17" s="14"/>
      <c r="AN17" s="14"/>
      <c r="AO17" s="14"/>
      <c r="AP17" s="14"/>
      <c r="AQ17" s="15"/>
      <c r="AR17" s="85"/>
      <c r="AS17" s="12"/>
      <c r="AT17" s="13"/>
      <c r="AU17" s="13"/>
      <c r="AV17" s="13"/>
      <c r="AW17" s="13"/>
      <c r="AX17" s="13"/>
      <c r="AY17" s="13"/>
      <c r="AZ17" s="14"/>
      <c r="BA17" s="14"/>
      <c r="BB17" s="14"/>
      <c r="BC17" s="14"/>
      <c r="BD17" s="14"/>
      <c r="BE17" s="15"/>
      <c r="BF17" s="85"/>
      <c r="BG17" s="12"/>
      <c r="BH17" s="13"/>
      <c r="BI17" s="13"/>
      <c r="BJ17" s="13"/>
      <c r="BK17" s="13"/>
      <c r="BL17" s="13"/>
      <c r="BM17" s="13"/>
      <c r="BN17" s="13"/>
      <c r="BO17" s="14"/>
      <c r="BP17" s="14"/>
      <c r="BQ17" s="14"/>
      <c r="BR17" s="14"/>
      <c r="BS17" s="15"/>
      <c r="BT17" s="85"/>
      <c r="BU17" s="12"/>
      <c r="BV17" s="13"/>
      <c r="BW17" s="13"/>
      <c r="BX17" s="13"/>
      <c r="BY17" s="13"/>
      <c r="BZ17" s="13"/>
      <c r="CA17" s="13"/>
      <c r="CB17" s="14"/>
      <c r="CC17" s="14"/>
      <c r="CD17" s="14"/>
      <c r="CE17" s="14"/>
      <c r="CF17" s="14"/>
      <c r="CG17" s="15"/>
      <c r="CH17" s="61"/>
      <c r="CI17" s="182"/>
      <c r="CJ17" s="52"/>
      <c r="CK17" s="190"/>
      <c r="CL17" s="191"/>
      <c r="CM17" s="191"/>
      <c r="CN17" s="191"/>
      <c r="CO17" s="192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1:143" s="119" customFormat="1" ht="11.45" customHeight="1" x14ac:dyDescent="0.2">
      <c r="A18" s="182"/>
      <c r="B18" s="44"/>
      <c r="C18" s="5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85"/>
      <c r="Q18" s="5"/>
      <c r="R18" s="6"/>
      <c r="S18" s="9"/>
      <c r="T18" s="9"/>
      <c r="U18" s="9"/>
      <c r="V18" s="9"/>
      <c r="W18" s="9"/>
      <c r="X18" s="10"/>
      <c r="Y18" s="10"/>
      <c r="Z18" s="10"/>
      <c r="AA18" s="9"/>
      <c r="AB18" s="10"/>
      <c r="AC18" s="11"/>
      <c r="AD18" s="85"/>
      <c r="AE18" s="5"/>
      <c r="AF18" s="9"/>
      <c r="AG18" s="9"/>
      <c r="AH18" s="9"/>
      <c r="AI18" s="9"/>
      <c r="AJ18" s="9"/>
      <c r="AK18" s="9"/>
      <c r="AL18" s="9"/>
      <c r="AM18" s="10"/>
      <c r="AN18" s="10"/>
      <c r="AO18" s="10"/>
      <c r="AP18" s="10"/>
      <c r="AQ18" s="11"/>
      <c r="AR18" s="85"/>
      <c r="AS18" s="5"/>
      <c r="AT18" s="9"/>
      <c r="AU18" s="9"/>
      <c r="AV18" s="9"/>
      <c r="AW18" s="9"/>
      <c r="AX18" s="9"/>
      <c r="AY18" s="9"/>
      <c r="AZ18" s="10"/>
      <c r="BA18" s="10"/>
      <c r="BB18" s="10"/>
      <c r="BC18" s="10"/>
      <c r="BD18" s="10"/>
      <c r="BE18" s="11"/>
      <c r="BF18" s="85"/>
      <c r="BG18" s="5"/>
      <c r="BH18" s="9"/>
      <c r="BI18" s="9"/>
      <c r="BJ18" s="9"/>
      <c r="BK18" s="9"/>
      <c r="BL18" s="9"/>
      <c r="BM18" s="9"/>
      <c r="BN18" s="9"/>
      <c r="BO18" s="10"/>
      <c r="BP18" s="10"/>
      <c r="BQ18" s="10"/>
      <c r="BR18" s="10"/>
      <c r="BS18" s="11"/>
      <c r="BT18" s="85"/>
      <c r="BU18" s="5"/>
      <c r="BV18" s="9"/>
      <c r="BW18" s="9"/>
      <c r="BX18" s="9"/>
      <c r="BY18" s="9"/>
      <c r="BZ18" s="9"/>
      <c r="CA18" s="9"/>
      <c r="CB18" s="10"/>
      <c r="CC18" s="10"/>
      <c r="CD18" s="10"/>
      <c r="CE18" s="10"/>
      <c r="CF18" s="10"/>
      <c r="CG18" s="11"/>
      <c r="CH18" s="61"/>
      <c r="CI18" s="182"/>
      <c r="CJ18" s="52"/>
      <c r="CK18" s="220" t="s">
        <v>45</v>
      </c>
      <c r="CL18" s="222" t="s">
        <v>0</v>
      </c>
      <c r="CM18" s="224" t="s">
        <v>46</v>
      </c>
      <c r="CN18" s="224" t="s">
        <v>47</v>
      </c>
      <c r="CO18" s="226" t="s">
        <v>49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1:143" s="119" customFormat="1" ht="11.45" customHeight="1" x14ac:dyDescent="0.2">
      <c r="A19" s="182"/>
      <c r="B19" s="44"/>
      <c r="C19" s="12"/>
      <c r="D19" s="13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85"/>
      <c r="Q19" s="12"/>
      <c r="R19" s="13"/>
      <c r="S19" s="13"/>
      <c r="T19" s="13"/>
      <c r="U19" s="13"/>
      <c r="V19" s="13"/>
      <c r="W19" s="13"/>
      <c r="X19" s="14"/>
      <c r="Y19" s="14"/>
      <c r="Z19" s="14"/>
      <c r="AA19" s="14"/>
      <c r="AB19" s="14"/>
      <c r="AC19" s="15"/>
      <c r="AD19" s="85"/>
      <c r="AE19" s="12"/>
      <c r="AF19" s="13"/>
      <c r="AG19" s="13"/>
      <c r="AH19" s="13"/>
      <c r="AI19" s="13"/>
      <c r="AJ19" s="13"/>
      <c r="AK19" s="13"/>
      <c r="AL19" s="13"/>
      <c r="AM19" s="14"/>
      <c r="AN19" s="14"/>
      <c r="AO19" s="14"/>
      <c r="AP19" s="14"/>
      <c r="AQ19" s="15"/>
      <c r="AR19" s="85"/>
      <c r="AS19" s="12"/>
      <c r="AT19" s="13"/>
      <c r="AU19" s="13"/>
      <c r="AV19" s="13"/>
      <c r="AW19" s="13"/>
      <c r="AX19" s="13"/>
      <c r="AY19" s="13"/>
      <c r="AZ19" s="14"/>
      <c r="BA19" s="14"/>
      <c r="BB19" s="14"/>
      <c r="BC19" s="14"/>
      <c r="BD19" s="14"/>
      <c r="BE19" s="15"/>
      <c r="BF19" s="85"/>
      <c r="BG19" s="12"/>
      <c r="BH19" s="13"/>
      <c r="BI19" s="13"/>
      <c r="BJ19" s="13"/>
      <c r="BK19" s="13"/>
      <c r="BL19" s="13"/>
      <c r="BM19" s="13"/>
      <c r="BN19" s="13"/>
      <c r="BO19" s="14"/>
      <c r="BP19" s="14"/>
      <c r="BQ19" s="14"/>
      <c r="BR19" s="14"/>
      <c r="BS19" s="15"/>
      <c r="BT19" s="85"/>
      <c r="BU19" s="12"/>
      <c r="BV19" s="13"/>
      <c r="BW19" s="13"/>
      <c r="BX19" s="13"/>
      <c r="BY19" s="13"/>
      <c r="BZ19" s="13"/>
      <c r="CA19" s="13"/>
      <c r="CB19" s="14"/>
      <c r="CC19" s="14"/>
      <c r="CD19" s="14"/>
      <c r="CE19" s="14"/>
      <c r="CF19" s="14"/>
      <c r="CG19" s="15"/>
      <c r="CH19" s="61"/>
      <c r="CI19" s="182"/>
      <c r="CJ19" s="52"/>
      <c r="CK19" s="221"/>
      <c r="CL19" s="223"/>
      <c r="CM19" s="225"/>
      <c r="CN19" s="225"/>
      <c r="CO19" s="227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1:143" s="119" customFormat="1" ht="11.45" customHeight="1" x14ac:dyDescent="0.2">
      <c r="A20" s="182">
        <v>900</v>
      </c>
      <c r="B20" s="44"/>
      <c r="C20" s="5"/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85"/>
      <c r="Q20" s="5"/>
      <c r="R20" s="9"/>
      <c r="S20" s="9"/>
      <c r="T20" s="9"/>
      <c r="U20" s="9"/>
      <c r="V20" s="9"/>
      <c r="W20" s="9"/>
      <c r="X20" s="9"/>
      <c r="Y20" s="9"/>
      <c r="Z20" s="9"/>
      <c r="AA20" s="10"/>
      <c r="AB20" s="10"/>
      <c r="AC20" s="11"/>
      <c r="AD20" s="85"/>
      <c r="AE20" s="5"/>
      <c r="AF20" s="9"/>
      <c r="AG20" s="9"/>
      <c r="AH20" s="9"/>
      <c r="AI20" s="9"/>
      <c r="AJ20" s="9"/>
      <c r="AK20" s="9"/>
      <c r="AL20" s="9"/>
      <c r="AM20" s="10"/>
      <c r="AN20" s="10"/>
      <c r="AO20" s="10"/>
      <c r="AP20" s="10"/>
      <c r="AQ20" s="11"/>
      <c r="AR20" s="85"/>
      <c r="AS20" s="5"/>
      <c r="AT20" s="9"/>
      <c r="AU20" s="9"/>
      <c r="AV20" s="9"/>
      <c r="AW20" s="9"/>
      <c r="AX20" s="9"/>
      <c r="AY20" s="9"/>
      <c r="AZ20" s="10"/>
      <c r="BA20" s="10"/>
      <c r="BB20" s="10"/>
      <c r="BC20" s="10"/>
      <c r="BD20" s="10"/>
      <c r="BE20" s="11"/>
      <c r="BF20" s="85"/>
      <c r="BG20" s="5"/>
      <c r="BH20" s="9"/>
      <c r="BI20" s="9"/>
      <c r="BJ20" s="9"/>
      <c r="BK20" s="9"/>
      <c r="BL20" s="9"/>
      <c r="BM20" s="9"/>
      <c r="BN20" s="9"/>
      <c r="BO20" s="10"/>
      <c r="BP20" s="10"/>
      <c r="BQ20" s="10"/>
      <c r="BR20" s="10"/>
      <c r="BS20" s="11"/>
      <c r="BT20" s="85"/>
      <c r="BU20" s="5"/>
      <c r="BV20" s="9"/>
      <c r="BW20" s="9"/>
      <c r="BX20" s="9"/>
      <c r="BY20" s="9"/>
      <c r="BZ20" s="9"/>
      <c r="CA20" s="9"/>
      <c r="CB20" s="10"/>
      <c r="CC20" s="10"/>
      <c r="CD20" s="10"/>
      <c r="CE20" s="10"/>
      <c r="CF20" s="10"/>
      <c r="CG20" s="11"/>
      <c r="CH20" s="61"/>
      <c r="CI20" s="182">
        <v>900</v>
      </c>
      <c r="CJ20" s="52"/>
      <c r="CK20" s="211">
        <v>20</v>
      </c>
      <c r="CL20" s="213" t="s">
        <v>216</v>
      </c>
      <c r="CM20" s="215" t="s">
        <v>214</v>
      </c>
      <c r="CN20" s="185" t="s">
        <v>215</v>
      </c>
      <c r="CO20" s="185" t="s">
        <v>138</v>
      </c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1:143" s="119" customFormat="1" ht="11.45" customHeight="1" x14ac:dyDescent="0.2">
      <c r="A21" s="182"/>
      <c r="B21" s="44"/>
      <c r="C21" s="12"/>
      <c r="D21" s="13"/>
      <c r="E21" s="13"/>
      <c r="F21" s="14"/>
      <c r="G21" s="14"/>
      <c r="H21" s="14"/>
      <c r="I21" s="14"/>
      <c r="J21" s="14"/>
      <c r="K21" s="14"/>
      <c r="L21" s="14"/>
      <c r="M21" s="14"/>
      <c r="N21" s="14" t="s">
        <v>9</v>
      </c>
      <c r="O21" s="15"/>
      <c r="P21" s="85"/>
      <c r="Q21" s="12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  <c r="AC21" s="15"/>
      <c r="AD21" s="85"/>
      <c r="AE21" s="12"/>
      <c r="AF21" s="13"/>
      <c r="AG21" s="13"/>
      <c r="AH21" s="13"/>
      <c r="AI21" s="13"/>
      <c r="AJ21" s="13"/>
      <c r="AK21" s="13"/>
      <c r="AL21" s="13"/>
      <c r="AM21" s="14"/>
      <c r="AN21" s="14"/>
      <c r="AO21" s="14"/>
      <c r="AP21" s="14"/>
      <c r="AQ21" s="15"/>
      <c r="AR21" s="85"/>
      <c r="AS21" s="12"/>
      <c r="AT21" s="13"/>
      <c r="AU21" s="13"/>
      <c r="AV21" s="13"/>
      <c r="AW21" s="13"/>
      <c r="AX21" s="13"/>
      <c r="AY21" s="13"/>
      <c r="AZ21" s="14"/>
      <c r="BA21" s="14"/>
      <c r="BB21" s="14"/>
      <c r="BC21" s="14"/>
      <c r="BD21" s="14"/>
      <c r="BE21" s="15"/>
      <c r="BF21" s="85"/>
      <c r="BG21" s="12"/>
      <c r="BH21" s="13"/>
      <c r="BI21" s="13"/>
      <c r="BJ21" s="13"/>
      <c r="BK21" s="13"/>
      <c r="BL21" s="13"/>
      <c r="BM21" s="13"/>
      <c r="BN21" s="13"/>
      <c r="BO21" s="14"/>
      <c r="BP21" s="14"/>
      <c r="BQ21" s="14"/>
      <c r="BR21" s="14"/>
      <c r="BS21" s="15"/>
      <c r="BT21" s="85"/>
      <c r="BU21" s="12"/>
      <c r="BV21" s="13"/>
      <c r="BW21" s="13"/>
      <c r="BX21" s="13"/>
      <c r="BY21" s="13"/>
      <c r="BZ21" s="13"/>
      <c r="CA21" s="13"/>
      <c r="CB21" s="14"/>
      <c r="CC21" s="14"/>
      <c r="CD21" s="14"/>
      <c r="CE21" s="14"/>
      <c r="CF21" s="14"/>
      <c r="CG21" s="15"/>
      <c r="CH21" s="61"/>
      <c r="CI21" s="182"/>
      <c r="CJ21" s="52"/>
      <c r="CK21" s="212"/>
      <c r="CL21" s="214"/>
      <c r="CM21" s="216"/>
      <c r="CN21" s="186"/>
      <c r="CO21" s="186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1:143" s="119" customFormat="1" ht="11.45" customHeight="1" x14ac:dyDescent="0.2">
      <c r="A22" s="182"/>
      <c r="B22" s="44"/>
      <c r="C22" s="5"/>
      <c r="D22" s="9"/>
      <c r="E22" s="9"/>
      <c r="F22" s="10"/>
      <c r="G22" s="10"/>
      <c r="H22" s="10"/>
      <c r="I22" s="10"/>
      <c r="J22" s="10"/>
      <c r="K22" s="10"/>
      <c r="L22" s="10"/>
      <c r="M22" s="22"/>
      <c r="N22" s="10"/>
      <c r="O22" s="11"/>
      <c r="P22" s="85"/>
      <c r="Q22" s="5"/>
      <c r="R22" s="9"/>
      <c r="S22" s="9"/>
      <c r="T22" s="9"/>
      <c r="U22" s="9"/>
      <c r="V22" s="9"/>
      <c r="W22" s="9"/>
      <c r="X22" s="10"/>
      <c r="Y22" s="10"/>
      <c r="Z22" s="10"/>
      <c r="AA22" s="10"/>
      <c r="AB22" s="10"/>
      <c r="AC22" s="11"/>
      <c r="AD22" s="85"/>
      <c r="AE22" s="5"/>
      <c r="AF22" s="9"/>
      <c r="AG22" s="9"/>
      <c r="AH22" s="9"/>
      <c r="AI22" s="9"/>
      <c r="AJ22" s="9"/>
      <c r="AK22" s="9"/>
      <c r="AL22" s="9"/>
      <c r="AM22" s="10"/>
      <c r="AN22" s="10"/>
      <c r="AO22" s="10"/>
      <c r="AP22" s="10"/>
      <c r="AQ22" s="11"/>
      <c r="AR22" s="85"/>
      <c r="AS22" s="5"/>
      <c r="AT22" s="9"/>
      <c r="AU22" s="9"/>
      <c r="AV22" s="9"/>
      <c r="AW22" s="9"/>
      <c r="AX22" s="9"/>
      <c r="AY22" s="9"/>
      <c r="AZ22" s="10"/>
      <c r="BA22" s="10"/>
      <c r="BB22" s="10"/>
      <c r="BC22" s="10"/>
      <c r="BD22" s="10"/>
      <c r="BE22" s="11"/>
      <c r="BF22" s="85"/>
      <c r="BG22" s="5"/>
      <c r="BH22" s="9"/>
      <c r="BI22" s="9"/>
      <c r="BJ22" s="9"/>
      <c r="BK22" s="9"/>
      <c r="BL22" s="9"/>
      <c r="BM22" s="9"/>
      <c r="BN22" s="9"/>
      <c r="BO22" s="10"/>
      <c r="BP22" s="10"/>
      <c r="BQ22" s="10"/>
      <c r="BR22" s="10"/>
      <c r="BS22" s="11"/>
      <c r="BT22" s="85"/>
      <c r="BU22" s="5"/>
      <c r="BV22" s="9"/>
      <c r="BW22" s="9"/>
      <c r="BX22" s="9"/>
      <c r="BY22" s="9"/>
      <c r="BZ22" s="9"/>
      <c r="CA22" s="9"/>
      <c r="CB22" s="10"/>
      <c r="CC22" s="10"/>
      <c r="CD22" s="10"/>
      <c r="CE22" s="10"/>
      <c r="CF22" s="10"/>
      <c r="CG22" s="11"/>
      <c r="CH22" s="61"/>
      <c r="CI22" s="182"/>
      <c r="CJ22" s="52"/>
      <c r="CK22" s="211">
        <v>21</v>
      </c>
      <c r="CL22" s="213">
        <v>1100</v>
      </c>
      <c r="CM22" s="215" t="s">
        <v>145</v>
      </c>
      <c r="CN22" s="185" t="s">
        <v>215</v>
      </c>
      <c r="CO22" s="185" t="s">
        <v>100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1:143" s="119" customFormat="1" ht="11.45" customHeight="1" x14ac:dyDescent="0.2">
      <c r="A23" s="182"/>
      <c r="B23" s="44"/>
      <c r="C23" s="12"/>
      <c r="D23" s="13"/>
      <c r="E23" s="13"/>
      <c r="F23" s="14"/>
      <c r="G23" s="14"/>
      <c r="H23" s="14"/>
      <c r="I23" s="14"/>
      <c r="J23" s="14"/>
      <c r="K23" s="14"/>
      <c r="L23" s="14"/>
      <c r="M23" s="23"/>
      <c r="N23" s="14"/>
      <c r="O23" s="15"/>
      <c r="P23" s="85"/>
      <c r="Q23" s="12"/>
      <c r="R23" s="13"/>
      <c r="S23" s="13"/>
      <c r="T23" s="13"/>
      <c r="U23" s="13"/>
      <c r="V23" s="13"/>
      <c r="W23" s="13"/>
      <c r="X23" s="14"/>
      <c r="Y23" s="14"/>
      <c r="Z23" s="14"/>
      <c r="AA23" s="14"/>
      <c r="AB23" s="14"/>
      <c r="AC23" s="15"/>
      <c r="AD23" s="85"/>
      <c r="AE23" s="12"/>
      <c r="AF23" s="13"/>
      <c r="AG23" s="13"/>
      <c r="AH23" s="13"/>
      <c r="AI23" s="13"/>
      <c r="AJ23" s="13"/>
      <c r="AK23" s="13"/>
      <c r="AL23" s="13"/>
      <c r="AM23" s="14"/>
      <c r="AN23" s="14"/>
      <c r="AO23" s="14"/>
      <c r="AP23" s="14"/>
      <c r="AQ23" s="15"/>
      <c r="AR23" s="85"/>
      <c r="AS23" s="12"/>
      <c r="AT23" s="13"/>
      <c r="AU23" s="13"/>
      <c r="AV23" s="13"/>
      <c r="AW23" s="13"/>
      <c r="AX23" s="13"/>
      <c r="AY23" s="13"/>
      <c r="AZ23" s="14"/>
      <c r="BA23" s="14"/>
      <c r="BB23" s="14"/>
      <c r="BC23" s="14"/>
      <c r="BD23" s="14"/>
      <c r="BE23" s="15"/>
      <c r="BF23" s="85"/>
      <c r="BG23" s="12"/>
      <c r="BH23" s="13"/>
      <c r="BI23" s="13"/>
      <c r="BJ23" s="13"/>
      <c r="BK23" s="13"/>
      <c r="BL23" s="13"/>
      <c r="BM23" s="13"/>
      <c r="BN23" s="13"/>
      <c r="BO23" s="14"/>
      <c r="BP23" s="14"/>
      <c r="BQ23" s="14"/>
      <c r="BR23" s="14"/>
      <c r="BS23" s="15"/>
      <c r="BT23" s="85"/>
      <c r="BU23" s="12"/>
      <c r="BV23" s="13"/>
      <c r="BW23" s="13"/>
      <c r="BX23" s="13"/>
      <c r="BY23" s="13"/>
      <c r="BZ23" s="13"/>
      <c r="CA23" s="13"/>
      <c r="CB23" s="14"/>
      <c r="CC23" s="14"/>
      <c r="CD23" s="14"/>
      <c r="CE23" s="14"/>
      <c r="CF23" s="14"/>
      <c r="CG23" s="15"/>
      <c r="CH23" s="61"/>
      <c r="CI23" s="182"/>
      <c r="CJ23" s="52"/>
      <c r="CK23" s="212"/>
      <c r="CL23" s="214"/>
      <c r="CM23" s="216"/>
      <c r="CN23" s="186"/>
      <c r="CO23" s="186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1:143" s="119" customFormat="1" ht="11.45" customHeight="1" x14ac:dyDescent="0.2">
      <c r="A24" s="182">
        <v>1000</v>
      </c>
      <c r="B24" s="44"/>
      <c r="C24" s="5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85"/>
      <c r="Q24" s="5"/>
      <c r="R24" s="9"/>
      <c r="S24" s="9"/>
      <c r="T24" s="9"/>
      <c r="U24" s="9"/>
      <c r="V24" s="9"/>
      <c r="W24" s="9"/>
      <c r="X24" s="9"/>
      <c r="Y24" s="9"/>
      <c r="Z24" s="9"/>
      <c r="AA24" s="10"/>
      <c r="AB24" s="10"/>
      <c r="AC24" s="11"/>
      <c r="AD24" s="85"/>
      <c r="AE24" s="5"/>
      <c r="AF24" s="9"/>
      <c r="AG24" s="9"/>
      <c r="AH24" s="9"/>
      <c r="AI24" s="9"/>
      <c r="AJ24" s="9"/>
      <c r="AK24" s="9"/>
      <c r="AL24" s="9"/>
      <c r="AM24" s="10"/>
      <c r="AN24" s="10"/>
      <c r="AO24" s="10"/>
      <c r="AP24" s="10"/>
      <c r="AQ24" s="11"/>
      <c r="AR24" s="85"/>
      <c r="AS24" s="5"/>
      <c r="AT24" s="9"/>
      <c r="AU24" s="9"/>
      <c r="AV24" s="9"/>
      <c r="AW24" s="9"/>
      <c r="AX24" s="9"/>
      <c r="AY24" s="9"/>
      <c r="AZ24" s="10"/>
      <c r="BA24" s="10"/>
      <c r="BB24" s="10"/>
      <c r="BC24" s="10"/>
      <c r="BD24" s="10"/>
      <c r="BE24" s="11"/>
      <c r="BF24" s="85"/>
      <c r="BG24" s="5"/>
      <c r="BH24" s="9"/>
      <c r="BI24" s="9"/>
      <c r="BJ24" s="9"/>
      <c r="BK24" s="9"/>
      <c r="BL24" s="9"/>
      <c r="BM24" s="9"/>
      <c r="BN24" s="9"/>
      <c r="BO24" s="10"/>
      <c r="BP24" s="10"/>
      <c r="BQ24" s="10"/>
      <c r="BR24" s="10"/>
      <c r="BS24" s="11"/>
      <c r="BT24" s="85"/>
      <c r="BU24" s="5"/>
      <c r="BV24" s="9"/>
      <c r="BW24" s="9"/>
      <c r="BX24" s="9"/>
      <c r="BY24" s="9"/>
      <c r="BZ24" s="9"/>
      <c r="CA24" s="9"/>
      <c r="CB24" s="10"/>
      <c r="CC24" s="10"/>
      <c r="CD24" s="10"/>
      <c r="CE24" s="10"/>
      <c r="CF24" s="10"/>
      <c r="CG24" s="11"/>
      <c r="CH24" s="61"/>
      <c r="CI24" s="182">
        <v>1000</v>
      </c>
      <c r="CJ24" s="52"/>
      <c r="CK24" s="211">
        <v>40</v>
      </c>
      <c r="CL24" s="213">
        <v>1000</v>
      </c>
      <c r="CM24" s="215" t="s">
        <v>220</v>
      </c>
      <c r="CN24" s="185" t="s">
        <v>215</v>
      </c>
      <c r="CO24" s="185" t="s">
        <v>100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1:143" s="119" customFormat="1" ht="11.45" customHeight="1" x14ac:dyDescent="0.2">
      <c r="A25" s="182"/>
      <c r="B25" s="44"/>
      <c r="C25" s="12"/>
      <c r="D25" s="13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85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  <c r="AC25" s="15"/>
      <c r="AD25" s="85"/>
      <c r="AE25" s="12"/>
      <c r="AF25" s="13"/>
      <c r="AG25" s="13"/>
      <c r="AH25" s="13"/>
      <c r="AI25" s="13"/>
      <c r="AJ25" s="13"/>
      <c r="AK25" s="13"/>
      <c r="AL25" s="13"/>
      <c r="AM25" s="14"/>
      <c r="AN25" s="14"/>
      <c r="AO25" s="14"/>
      <c r="AP25" s="14"/>
      <c r="AQ25" s="15"/>
      <c r="AR25" s="85"/>
      <c r="AS25" s="12"/>
      <c r="AT25" s="13"/>
      <c r="AU25" s="13"/>
      <c r="AV25" s="13"/>
      <c r="AW25" s="13"/>
      <c r="AX25" s="13"/>
      <c r="AY25" s="13"/>
      <c r="AZ25" s="14"/>
      <c r="BA25" s="14"/>
      <c r="BB25" s="14"/>
      <c r="BC25" s="14"/>
      <c r="BD25" s="14"/>
      <c r="BE25" s="15"/>
      <c r="BF25" s="85"/>
      <c r="BG25" s="12"/>
      <c r="BH25" s="13"/>
      <c r="BI25" s="13"/>
      <c r="BJ25" s="13"/>
      <c r="BK25" s="13"/>
      <c r="BL25" s="13"/>
      <c r="BM25" s="13"/>
      <c r="BN25" s="13"/>
      <c r="BO25" s="14"/>
      <c r="BP25" s="14"/>
      <c r="BQ25" s="14"/>
      <c r="BR25" s="14"/>
      <c r="BS25" s="15"/>
      <c r="BT25" s="85"/>
      <c r="BU25" s="12"/>
      <c r="BV25" s="13"/>
      <c r="BW25" s="13"/>
      <c r="BX25" s="13"/>
      <c r="BY25" s="13"/>
      <c r="BZ25" s="13"/>
      <c r="CA25" s="13"/>
      <c r="CB25" s="14"/>
      <c r="CC25" s="14"/>
      <c r="CD25" s="14"/>
      <c r="CE25" s="14"/>
      <c r="CF25" s="14"/>
      <c r="CG25" s="15"/>
      <c r="CH25" s="61"/>
      <c r="CI25" s="182"/>
      <c r="CJ25" s="52"/>
      <c r="CK25" s="212"/>
      <c r="CL25" s="214"/>
      <c r="CM25" s="216"/>
      <c r="CN25" s="186"/>
      <c r="CO25" s="186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1:143" s="119" customFormat="1" ht="11.45" customHeight="1" x14ac:dyDescent="0.2">
      <c r="A26" s="182"/>
      <c r="B26" s="44"/>
      <c r="C26" s="5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85"/>
      <c r="Q26" s="5"/>
      <c r="R26" s="9"/>
      <c r="S26" s="9"/>
      <c r="T26" s="9"/>
      <c r="U26" s="9"/>
      <c r="V26" s="9"/>
      <c r="W26" s="9"/>
      <c r="X26" s="9"/>
      <c r="Y26" s="9"/>
      <c r="Z26" s="9"/>
      <c r="AA26" s="10"/>
      <c r="AB26" s="10"/>
      <c r="AC26" s="11"/>
      <c r="AD26" s="85"/>
      <c r="AE26" s="5"/>
      <c r="AF26" s="9"/>
      <c r="AG26" s="9"/>
      <c r="AH26" s="9"/>
      <c r="AI26" s="9"/>
      <c r="AJ26" s="9"/>
      <c r="AK26" s="9"/>
      <c r="AL26" s="9"/>
      <c r="AM26" s="10"/>
      <c r="AN26" s="10"/>
      <c r="AO26" s="10"/>
      <c r="AP26" s="10"/>
      <c r="AQ26" s="11"/>
      <c r="AR26" s="85"/>
      <c r="AS26" s="5"/>
      <c r="AT26" s="9"/>
      <c r="AU26" s="9"/>
      <c r="AV26" s="9"/>
      <c r="AW26" s="9"/>
      <c r="AX26" s="9"/>
      <c r="AY26" s="9"/>
      <c r="AZ26" s="10"/>
      <c r="BA26" s="10"/>
      <c r="BB26" s="10"/>
      <c r="BC26" s="10"/>
      <c r="BD26" s="10"/>
      <c r="BE26" s="11"/>
      <c r="BF26" s="85"/>
      <c r="BG26" s="5"/>
      <c r="BH26" s="9"/>
      <c r="BI26" s="9"/>
      <c r="BJ26" s="9"/>
      <c r="BK26" s="9"/>
      <c r="BL26" s="9"/>
      <c r="BM26" s="9"/>
      <c r="BN26" s="9"/>
      <c r="BO26" s="10"/>
      <c r="BP26" s="10"/>
      <c r="BQ26" s="10"/>
      <c r="BR26" s="10"/>
      <c r="BS26" s="11"/>
      <c r="BT26" s="85"/>
      <c r="BU26" s="5"/>
      <c r="BV26" s="9"/>
      <c r="BW26" s="9"/>
      <c r="BX26" s="9"/>
      <c r="BY26" s="9"/>
      <c r="BZ26" s="9"/>
      <c r="CA26" s="9"/>
      <c r="CB26" s="10"/>
      <c r="CC26" s="10"/>
      <c r="CD26" s="10"/>
      <c r="CE26" s="10"/>
      <c r="CF26" s="10"/>
      <c r="CG26" s="11"/>
      <c r="CH26" s="61"/>
      <c r="CI26" s="182"/>
      <c r="CJ26" s="52"/>
      <c r="CK26" s="211">
        <v>41</v>
      </c>
      <c r="CL26" s="213" t="s">
        <v>150</v>
      </c>
      <c r="CM26" s="215" t="s">
        <v>151</v>
      </c>
      <c r="CN26" s="185" t="s">
        <v>102</v>
      </c>
      <c r="CO26" s="185" t="s">
        <v>138</v>
      </c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1:143" s="119" customFormat="1" ht="11.45" customHeight="1" x14ac:dyDescent="0.2">
      <c r="A27" s="182"/>
      <c r="B27" s="44"/>
      <c r="C27" s="12"/>
      <c r="D27" s="13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85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  <c r="AC27" s="15"/>
      <c r="AD27" s="85"/>
      <c r="AE27" s="12"/>
      <c r="AF27" s="13"/>
      <c r="AG27" s="13"/>
      <c r="AH27" s="13"/>
      <c r="AI27" s="13"/>
      <c r="AJ27" s="13"/>
      <c r="AK27" s="13"/>
      <c r="AL27" s="13"/>
      <c r="AM27" s="14"/>
      <c r="AN27" s="14"/>
      <c r="AO27" s="14"/>
      <c r="AP27" s="14"/>
      <c r="AQ27" s="15"/>
      <c r="AR27" s="85"/>
      <c r="AS27" s="12"/>
      <c r="AT27" s="13"/>
      <c r="AU27" s="13"/>
      <c r="AV27" s="13"/>
      <c r="AW27" s="13"/>
      <c r="AX27" s="13"/>
      <c r="AY27" s="13"/>
      <c r="AZ27" s="14"/>
      <c r="BA27" s="14"/>
      <c r="BB27" s="14"/>
      <c r="BC27" s="14"/>
      <c r="BD27" s="14"/>
      <c r="BE27" s="15"/>
      <c r="BF27" s="85"/>
      <c r="BG27" s="12"/>
      <c r="BH27" s="13"/>
      <c r="BI27" s="13"/>
      <c r="BJ27" s="13"/>
      <c r="BK27" s="13"/>
      <c r="BL27" s="13"/>
      <c r="BM27" s="13"/>
      <c r="BN27" s="13"/>
      <c r="BO27" s="14"/>
      <c r="BP27" s="14"/>
      <c r="BQ27" s="14"/>
      <c r="BR27" s="14"/>
      <c r="BS27" s="15"/>
      <c r="BT27" s="85"/>
      <c r="BU27" s="12"/>
      <c r="BV27" s="13"/>
      <c r="BW27" s="13"/>
      <c r="BX27" s="13"/>
      <c r="BY27" s="13"/>
      <c r="BZ27" s="13"/>
      <c r="CA27" s="13"/>
      <c r="CB27" s="14"/>
      <c r="CC27" s="14"/>
      <c r="CD27" s="14"/>
      <c r="CE27" s="14"/>
      <c r="CF27" s="14"/>
      <c r="CG27" s="15"/>
      <c r="CH27" s="61"/>
      <c r="CI27" s="182"/>
      <c r="CJ27" s="52"/>
      <c r="CK27" s="212"/>
      <c r="CL27" s="214"/>
      <c r="CM27" s="216"/>
      <c r="CN27" s="186"/>
      <c r="CO27" s="186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1:143" s="119" customFormat="1" ht="11.45" customHeight="1" x14ac:dyDescent="0.2">
      <c r="A28" s="182">
        <v>1100</v>
      </c>
      <c r="B28" s="44"/>
      <c r="C28" s="5"/>
      <c r="D28" s="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85"/>
      <c r="Q28" s="5"/>
      <c r="R28" s="9"/>
      <c r="S28" s="9"/>
      <c r="T28" s="9"/>
      <c r="U28" s="9"/>
      <c r="V28" s="9"/>
      <c r="W28" s="9"/>
      <c r="X28" s="9"/>
      <c r="Y28" s="9"/>
      <c r="Z28" s="9"/>
      <c r="AA28" s="10"/>
      <c r="AB28" s="10"/>
      <c r="AC28" s="11"/>
      <c r="AD28" s="85"/>
      <c r="AE28" s="5"/>
      <c r="AF28" s="9"/>
      <c r="AG28" s="9"/>
      <c r="AH28" s="9"/>
      <c r="AI28" s="9"/>
      <c r="AJ28" s="9"/>
      <c r="AK28" s="9"/>
      <c r="AL28" s="9"/>
      <c r="AM28" s="10"/>
      <c r="AN28" s="10"/>
      <c r="AO28" s="10"/>
      <c r="AP28" s="10"/>
      <c r="AQ28" s="11"/>
      <c r="AR28" s="85"/>
      <c r="AS28" s="5"/>
      <c r="AT28" s="9"/>
      <c r="AU28" s="9"/>
      <c r="AV28" s="9"/>
      <c r="AW28" s="9"/>
      <c r="AX28" s="9"/>
      <c r="AY28" s="9"/>
      <c r="AZ28" s="10"/>
      <c r="BA28" s="10"/>
      <c r="BB28" s="10"/>
      <c r="BC28" s="10"/>
      <c r="BD28" s="10"/>
      <c r="BE28" s="11"/>
      <c r="BF28" s="85"/>
      <c r="BG28" s="5"/>
      <c r="BH28" s="9"/>
      <c r="BI28" s="9"/>
      <c r="BJ28" s="9"/>
      <c r="BK28" s="9"/>
      <c r="BL28" s="9"/>
      <c r="BM28" s="9"/>
      <c r="BN28" s="9"/>
      <c r="BO28" s="10"/>
      <c r="BP28" s="10"/>
      <c r="BQ28" s="10"/>
      <c r="BR28" s="10"/>
      <c r="BS28" s="11"/>
      <c r="BT28" s="85"/>
      <c r="BU28" s="5"/>
      <c r="BV28" s="9"/>
      <c r="BW28" s="9"/>
      <c r="BX28" s="9"/>
      <c r="BY28" s="9"/>
      <c r="BZ28" s="9"/>
      <c r="CA28" s="9"/>
      <c r="CB28" s="10"/>
      <c r="CC28" s="10"/>
      <c r="CD28" s="10"/>
      <c r="CE28" s="10"/>
      <c r="CF28" s="10"/>
      <c r="CG28" s="11"/>
      <c r="CH28" s="61"/>
      <c r="CI28" s="182">
        <v>1100</v>
      </c>
      <c r="CJ28" s="52"/>
      <c r="CK28" s="211">
        <v>42</v>
      </c>
      <c r="CL28" s="213" t="s">
        <v>152</v>
      </c>
      <c r="CM28" s="215" t="s">
        <v>153</v>
      </c>
      <c r="CN28" s="185" t="s">
        <v>102</v>
      </c>
      <c r="CO28" s="185" t="s">
        <v>101</v>
      </c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1:143" s="119" customFormat="1" ht="11.45" customHeight="1" x14ac:dyDescent="0.2">
      <c r="A29" s="182"/>
      <c r="B29" s="44"/>
      <c r="C29" s="12"/>
      <c r="D29" s="13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85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  <c r="AC29" s="15"/>
      <c r="AD29" s="85"/>
      <c r="AE29" s="12"/>
      <c r="AF29" s="13"/>
      <c r="AG29" s="13"/>
      <c r="AH29" s="13"/>
      <c r="AI29" s="13"/>
      <c r="AJ29" s="13"/>
      <c r="AK29" s="13"/>
      <c r="AL29" s="13"/>
      <c r="AM29" s="14"/>
      <c r="AN29" s="14"/>
      <c r="AO29" s="14"/>
      <c r="AP29" s="14"/>
      <c r="AQ29" s="15"/>
      <c r="AR29" s="85"/>
      <c r="AS29" s="12"/>
      <c r="AT29" s="13"/>
      <c r="AU29" s="13"/>
      <c r="AV29" s="13"/>
      <c r="AW29" s="13"/>
      <c r="AX29" s="13"/>
      <c r="AY29" s="13"/>
      <c r="AZ29" s="14"/>
      <c r="BA29" s="14"/>
      <c r="BB29" s="14"/>
      <c r="BC29" s="14"/>
      <c r="BD29" s="14"/>
      <c r="BE29" s="15"/>
      <c r="BF29" s="85"/>
      <c r="BG29" s="12"/>
      <c r="BH29" s="13"/>
      <c r="BI29" s="13"/>
      <c r="BJ29" s="13"/>
      <c r="BK29" s="13"/>
      <c r="BL29" s="13"/>
      <c r="BM29" s="13"/>
      <c r="BN29" s="13"/>
      <c r="BO29" s="14"/>
      <c r="BP29" s="14"/>
      <c r="BQ29" s="14"/>
      <c r="BR29" s="14"/>
      <c r="BS29" s="15"/>
      <c r="BT29" s="85"/>
      <c r="BU29" s="12"/>
      <c r="BV29" s="13"/>
      <c r="BW29" s="13"/>
      <c r="BX29" s="13"/>
      <c r="BY29" s="13"/>
      <c r="BZ29" s="13"/>
      <c r="CA29" s="13"/>
      <c r="CB29" s="14"/>
      <c r="CC29" s="14"/>
      <c r="CD29" s="14"/>
      <c r="CE29" s="14"/>
      <c r="CF29" s="14"/>
      <c r="CG29" s="15"/>
      <c r="CH29" s="61"/>
      <c r="CI29" s="182"/>
      <c r="CJ29" s="52"/>
      <c r="CK29" s="212"/>
      <c r="CL29" s="214"/>
      <c r="CM29" s="216"/>
      <c r="CN29" s="186"/>
      <c r="CO29" s="186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1:143" s="119" customFormat="1" ht="11.45" customHeight="1" x14ac:dyDescent="0.2">
      <c r="A30" s="182"/>
      <c r="B30" s="44"/>
      <c r="C30" s="5"/>
      <c r="D30" s="9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85"/>
      <c r="Q30" s="5"/>
      <c r="R30" s="9"/>
      <c r="S30" s="9"/>
      <c r="T30" s="9"/>
      <c r="U30" s="9"/>
      <c r="V30" s="9"/>
      <c r="W30" s="9"/>
      <c r="X30" s="9"/>
      <c r="Y30" s="9"/>
      <c r="Z30" s="9"/>
      <c r="AA30" s="10"/>
      <c r="AB30" s="10"/>
      <c r="AC30" s="11"/>
      <c r="AD30" s="85"/>
      <c r="AE30" s="5"/>
      <c r="AF30" s="9"/>
      <c r="AG30" s="9"/>
      <c r="AH30" s="9"/>
      <c r="AI30" s="9"/>
      <c r="AJ30" s="9"/>
      <c r="AK30" s="9"/>
      <c r="AL30" s="9"/>
      <c r="AM30" s="10"/>
      <c r="AN30" s="10"/>
      <c r="AO30" s="10"/>
      <c r="AP30" s="10"/>
      <c r="AQ30" s="11"/>
      <c r="AR30" s="85"/>
      <c r="AS30" s="5"/>
      <c r="AT30" s="9"/>
      <c r="AU30" s="9"/>
      <c r="AV30" s="9"/>
      <c r="AW30" s="9"/>
      <c r="AX30" s="9"/>
      <c r="AY30" s="9"/>
      <c r="AZ30" s="10"/>
      <c r="BA30" s="10"/>
      <c r="BB30" s="10"/>
      <c r="BC30" s="10"/>
      <c r="BD30" s="10"/>
      <c r="BE30" s="11"/>
      <c r="BF30" s="85"/>
      <c r="BG30" s="5"/>
      <c r="BH30" s="9"/>
      <c r="BI30" s="9"/>
      <c r="BJ30" s="9"/>
      <c r="BK30" s="9"/>
      <c r="BL30" s="9"/>
      <c r="BM30" s="9"/>
      <c r="BN30" s="9"/>
      <c r="BO30" s="10"/>
      <c r="BP30" s="10"/>
      <c r="BQ30" s="10"/>
      <c r="BR30" s="10"/>
      <c r="BS30" s="11"/>
      <c r="BT30" s="85"/>
      <c r="BU30" s="5"/>
      <c r="BV30" s="9"/>
      <c r="BW30" s="9"/>
      <c r="BX30" s="9"/>
      <c r="BY30" s="9"/>
      <c r="BZ30" s="9"/>
      <c r="CA30" s="9"/>
      <c r="CB30" s="10"/>
      <c r="CC30" s="10"/>
      <c r="CD30" s="10"/>
      <c r="CE30" s="10"/>
      <c r="CF30" s="10"/>
      <c r="CG30" s="11"/>
      <c r="CH30" s="61"/>
      <c r="CI30" s="182"/>
      <c r="CJ30" s="52"/>
      <c r="CK30" s="211">
        <v>50</v>
      </c>
      <c r="CL30" s="213" t="s">
        <v>150</v>
      </c>
      <c r="CM30" s="215" t="s">
        <v>217</v>
      </c>
      <c r="CN30" s="185" t="s">
        <v>218</v>
      </c>
      <c r="CO30" s="185" t="s">
        <v>107</v>
      </c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1:143" s="119" customFormat="1" ht="11.45" customHeight="1" x14ac:dyDescent="0.2">
      <c r="A31" s="182"/>
      <c r="B31" s="44"/>
      <c r="C31" s="12"/>
      <c r="D31" s="13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85"/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  <c r="AC31" s="15"/>
      <c r="AD31" s="85"/>
      <c r="AE31" s="12"/>
      <c r="AF31" s="13"/>
      <c r="AG31" s="13"/>
      <c r="AH31" s="13"/>
      <c r="AI31" s="13"/>
      <c r="AJ31" s="13"/>
      <c r="AK31" s="13"/>
      <c r="AL31" s="13"/>
      <c r="AM31" s="14"/>
      <c r="AN31" s="14"/>
      <c r="AO31" s="14"/>
      <c r="AP31" s="14"/>
      <c r="AQ31" s="15"/>
      <c r="AR31" s="85"/>
      <c r="AS31" s="12"/>
      <c r="AT31" s="13"/>
      <c r="AU31" s="13"/>
      <c r="AV31" s="13"/>
      <c r="AW31" s="13"/>
      <c r="AX31" s="13"/>
      <c r="AY31" s="13"/>
      <c r="AZ31" s="14"/>
      <c r="BA31" s="14"/>
      <c r="BB31" s="14"/>
      <c r="BC31" s="14"/>
      <c r="BD31" s="14"/>
      <c r="BE31" s="15"/>
      <c r="BF31" s="85"/>
      <c r="BG31" s="12"/>
      <c r="BH31" s="13"/>
      <c r="BI31" s="13"/>
      <c r="BJ31" s="13"/>
      <c r="BK31" s="13"/>
      <c r="BL31" s="13"/>
      <c r="BM31" s="13"/>
      <c r="BN31" s="13"/>
      <c r="BO31" s="14"/>
      <c r="BP31" s="14"/>
      <c r="BQ31" s="14"/>
      <c r="BR31" s="14"/>
      <c r="BS31" s="15"/>
      <c r="BT31" s="85"/>
      <c r="BU31" s="12"/>
      <c r="BV31" s="13"/>
      <c r="BW31" s="13"/>
      <c r="BX31" s="13"/>
      <c r="BY31" s="13"/>
      <c r="BZ31" s="13"/>
      <c r="CA31" s="13"/>
      <c r="CB31" s="14"/>
      <c r="CC31" s="14"/>
      <c r="CD31" s="14"/>
      <c r="CE31" s="14"/>
      <c r="CF31" s="14"/>
      <c r="CG31" s="15"/>
      <c r="CH31" s="61"/>
      <c r="CI31" s="182"/>
      <c r="CJ31" s="52"/>
      <c r="CK31" s="212"/>
      <c r="CL31" s="214"/>
      <c r="CM31" s="216"/>
      <c r="CN31" s="186"/>
      <c r="CO31" s="186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1:143" s="119" customFormat="1" ht="11.45" customHeight="1" x14ac:dyDescent="0.2">
      <c r="A32" s="182">
        <v>1200</v>
      </c>
      <c r="B32" s="44"/>
      <c r="C32" s="5"/>
      <c r="D32" s="9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1"/>
      <c r="P32" s="85"/>
      <c r="Q32" s="5"/>
      <c r="R32" s="9"/>
      <c r="S32" s="9"/>
      <c r="T32" s="9"/>
      <c r="U32" s="9"/>
      <c r="V32" s="9"/>
      <c r="W32" s="9"/>
      <c r="X32" s="9"/>
      <c r="Y32" s="9"/>
      <c r="Z32" s="9"/>
      <c r="AA32" s="10"/>
      <c r="AB32" s="10"/>
      <c r="AC32" s="11"/>
      <c r="AD32" s="85"/>
      <c r="AE32" s="5"/>
      <c r="AF32" s="9"/>
      <c r="AG32" s="9"/>
      <c r="AH32" s="9"/>
      <c r="AI32" s="9"/>
      <c r="AJ32" s="9"/>
      <c r="AK32" s="9"/>
      <c r="AL32" s="9"/>
      <c r="AM32" s="10"/>
      <c r="AN32" s="10"/>
      <c r="AO32" s="10"/>
      <c r="AP32" s="10"/>
      <c r="AQ32" s="11"/>
      <c r="AR32" s="85"/>
      <c r="AS32" s="5"/>
      <c r="AT32" s="9"/>
      <c r="AU32" s="9"/>
      <c r="AV32" s="9"/>
      <c r="AW32" s="9"/>
      <c r="AX32" s="9"/>
      <c r="AY32" s="9"/>
      <c r="AZ32" s="10"/>
      <c r="BA32" s="10"/>
      <c r="BB32" s="10"/>
      <c r="BC32" s="10"/>
      <c r="BD32" s="10"/>
      <c r="BE32" s="11"/>
      <c r="BF32" s="85"/>
      <c r="BG32" s="5"/>
      <c r="BH32" s="9"/>
      <c r="BI32" s="9"/>
      <c r="BJ32" s="9"/>
      <c r="BK32" s="9"/>
      <c r="BL32" s="9"/>
      <c r="BM32" s="9"/>
      <c r="BN32" s="9"/>
      <c r="BO32" s="10"/>
      <c r="BP32" s="10"/>
      <c r="BQ32" s="10"/>
      <c r="BR32" s="10"/>
      <c r="BS32" s="11"/>
      <c r="BT32" s="85"/>
      <c r="BU32" s="5"/>
      <c r="BV32" s="9"/>
      <c r="BW32" s="9"/>
      <c r="BX32" s="9"/>
      <c r="BY32" s="9"/>
      <c r="BZ32" s="9"/>
      <c r="CA32" s="9"/>
      <c r="CB32" s="10"/>
      <c r="CC32" s="10"/>
      <c r="CD32" s="10"/>
      <c r="CE32" s="10"/>
      <c r="CF32" s="10"/>
      <c r="CG32" s="11"/>
      <c r="CH32" s="61"/>
      <c r="CI32" s="182">
        <v>1200</v>
      </c>
      <c r="CJ32" s="52"/>
      <c r="CK32" s="211">
        <v>51</v>
      </c>
      <c r="CL32" s="213" t="s">
        <v>150</v>
      </c>
      <c r="CM32" s="215" t="s">
        <v>217</v>
      </c>
      <c r="CN32" s="185" t="s">
        <v>219</v>
      </c>
      <c r="CO32" s="185" t="s">
        <v>107</v>
      </c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 s="119" customFormat="1" ht="11.45" customHeight="1" x14ac:dyDescent="0.2">
      <c r="A33" s="182"/>
      <c r="B33" s="44"/>
      <c r="C33" s="12"/>
      <c r="D33" s="13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85"/>
      <c r="Q33" s="12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  <c r="AC33" s="15"/>
      <c r="AD33" s="85"/>
      <c r="AE33" s="12"/>
      <c r="AF33" s="13"/>
      <c r="AG33" s="13"/>
      <c r="AH33" s="13"/>
      <c r="AI33" s="13"/>
      <c r="AJ33" s="13"/>
      <c r="AK33" s="13"/>
      <c r="AL33" s="13"/>
      <c r="AM33" s="14"/>
      <c r="AN33" s="14"/>
      <c r="AO33" s="14"/>
      <c r="AP33" s="14"/>
      <c r="AQ33" s="15"/>
      <c r="AR33" s="85"/>
      <c r="AS33" s="12"/>
      <c r="AT33" s="13"/>
      <c r="AU33" s="13"/>
      <c r="AV33" s="13"/>
      <c r="AW33" s="13"/>
      <c r="AX33" s="13"/>
      <c r="AY33" s="13"/>
      <c r="AZ33" s="14"/>
      <c r="BA33" s="14"/>
      <c r="BB33" s="14"/>
      <c r="BC33" s="14"/>
      <c r="BD33" s="14"/>
      <c r="BE33" s="15"/>
      <c r="BF33" s="85"/>
      <c r="BG33" s="12"/>
      <c r="BH33" s="13"/>
      <c r="BI33" s="13"/>
      <c r="BJ33" s="13"/>
      <c r="BK33" s="13"/>
      <c r="BL33" s="13"/>
      <c r="BM33" s="13"/>
      <c r="BN33" s="13"/>
      <c r="BO33" s="14"/>
      <c r="BP33" s="14"/>
      <c r="BQ33" s="14"/>
      <c r="BR33" s="14"/>
      <c r="BS33" s="15"/>
      <c r="BT33" s="85"/>
      <c r="BU33" s="12"/>
      <c r="BV33" s="13"/>
      <c r="BW33" s="13"/>
      <c r="BX33" s="13"/>
      <c r="BY33" s="13"/>
      <c r="BZ33" s="13"/>
      <c r="CA33" s="13"/>
      <c r="CB33" s="14"/>
      <c r="CC33" s="14"/>
      <c r="CD33" s="14"/>
      <c r="CE33" s="14"/>
      <c r="CF33" s="14"/>
      <c r="CG33" s="15"/>
      <c r="CH33" s="61"/>
      <c r="CI33" s="182"/>
      <c r="CJ33" s="52"/>
      <c r="CK33" s="212"/>
      <c r="CL33" s="214"/>
      <c r="CM33" s="216"/>
      <c r="CN33" s="186"/>
      <c r="CO33" s="186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 s="119" customFormat="1" ht="11.45" customHeight="1" x14ac:dyDescent="0.2">
      <c r="A34" s="182"/>
      <c r="B34" s="44"/>
      <c r="C34" s="5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1"/>
      <c r="P34" s="85"/>
      <c r="Q34" s="5"/>
      <c r="R34" s="9"/>
      <c r="S34" s="9"/>
      <c r="T34" s="9"/>
      <c r="U34" s="9"/>
      <c r="V34" s="9"/>
      <c r="W34" s="9"/>
      <c r="X34" s="9"/>
      <c r="Y34" s="9"/>
      <c r="Z34" s="9"/>
      <c r="AA34" s="10"/>
      <c r="AB34" s="10"/>
      <c r="AC34" s="11"/>
      <c r="AD34" s="85"/>
      <c r="AE34" s="5"/>
      <c r="AF34" s="9"/>
      <c r="AG34" s="9"/>
      <c r="AH34" s="9"/>
      <c r="AI34" s="9"/>
      <c r="AJ34" s="9"/>
      <c r="AK34" s="9"/>
      <c r="AL34" s="9"/>
      <c r="AM34" s="10"/>
      <c r="AN34" s="10"/>
      <c r="AO34" s="10"/>
      <c r="AP34" s="10"/>
      <c r="AQ34" s="11"/>
      <c r="AR34" s="85"/>
      <c r="AS34" s="5"/>
      <c r="AT34" s="9"/>
      <c r="AU34" s="9"/>
      <c r="AV34" s="9"/>
      <c r="AW34" s="9"/>
      <c r="AX34" s="9"/>
      <c r="AY34" s="9"/>
      <c r="AZ34" s="10"/>
      <c r="BA34" s="10"/>
      <c r="BB34" s="10"/>
      <c r="BC34" s="10"/>
      <c r="BD34" s="10"/>
      <c r="BE34" s="11"/>
      <c r="BF34" s="85"/>
      <c r="BG34" s="5"/>
      <c r="BH34" s="9"/>
      <c r="BI34" s="9"/>
      <c r="BJ34" s="9"/>
      <c r="BK34" s="9"/>
      <c r="BL34" s="9"/>
      <c r="BM34" s="9"/>
      <c r="BN34" s="9"/>
      <c r="BO34" s="10"/>
      <c r="BP34" s="10"/>
      <c r="BQ34" s="10"/>
      <c r="BR34" s="10"/>
      <c r="BS34" s="11"/>
      <c r="BT34" s="85"/>
      <c r="BU34" s="5"/>
      <c r="BV34" s="9"/>
      <c r="BW34" s="9"/>
      <c r="BX34" s="9"/>
      <c r="BY34" s="9"/>
      <c r="BZ34" s="9"/>
      <c r="CA34" s="9"/>
      <c r="CB34" s="10"/>
      <c r="CC34" s="10"/>
      <c r="CD34" s="10"/>
      <c r="CE34" s="10"/>
      <c r="CF34" s="10"/>
      <c r="CG34" s="11"/>
      <c r="CH34" s="61"/>
      <c r="CI34" s="182"/>
      <c r="CJ34" s="52"/>
      <c r="CK34" s="211">
        <v>52</v>
      </c>
      <c r="CL34" s="213" t="s">
        <v>137</v>
      </c>
      <c r="CM34" s="215" t="s">
        <v>154</v>
      </c>
      <c r="CN34" s="185" t="s">
        <v>215</v>
      </c>
      <c r="CO34" s="185" t="s">
        <v>123</v>
      </c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 s="119" customFormat="1" ht="11.45" customHeight="1" x14ac:dyDescent="0.2">
      <c r="A35" s="182"/>
      <c r="B35" s="44"/>
      <c r="C35" s="12"/>
      <c r="D35" s="13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85"/>
      <c r="Q35" s="12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  <c r="AC35" s="15"/>
      <c r="AD35" s="85"/>
      <c r="AE35" s="12"/>
      <c r="AF35" s="13"/>
      <c r="AG35" s="13"/>
      <c r="AH35" s="13"/>
      <c r="AI35" s="13"/>
      <c r="AJ35" s="13"/>
      <c r="AK35" s="13"/>
      <c r="AL35" s="13"/>
      <c r="AM35" s="14"/>
      <c r="AN35" s="14"/>
      <c r="AO35" s="14"/>
      <c r="AP35" s="14"/>
      <c r="AQ35" s="15"/>
      <c r="AR35" s="85"/>
      <c r="AS35" s="12"/>
      <c r="AT35" s="13"/>
      <c r="AU35" s="13"/>
      <c r="AV35" s="13"/>
      <c r="AW35" s="13"/>
      <c r="AX35" s="13"/>
      <c r="AY35" s="13"/>
      <c r="AZ35" s="14"/>
      <c r="BA35" s="14"/>
      <c r="BB35" s="14"/>
      <c r="BC35" s="14"/>
      <c r="BD35" s="14"/>
      <c r="BE35" s="15"/>
      <c r="BF35" s="85"/>
      <c r="BG35" s="12"/>
      <c r="BH35" s="13"/>
      <c r="BI35" s="13"/>
      <c r="BJ35" s="13"/>
      <c r="BK35" s="13"/>
      <c r="BL35" s="13"/>
      <c r="BM35" s="13"/>
      <c r="BN35" s="13"/>
      <c r="BO35" s="14"/>
      <c r="BP35" s="14"/>
      <c r="BQ35" s="14"/>
      <c r="BR35" s="14"/>
      <c r="BS35" s="15"/>
      <c r="BT35" s="85"/>
      <c r="BU35" s="12"/>
      <c r="BV35" s="13"/>
      <c r="BW35" s="13"/>
      <c r="BX35" s="13"/>
      <c r="BY35" s="13"/>
      <c r="BZ35" s="13"/>
      <c r="CA35" s="13"/>
      <c r="CB35" s="14"/>
      <c r="CC35" s="14"/>
      <c r="CD35" s="14"/>
      <c r="CE35" s="14"/>
      <c r="CF35" s="14"/>
      <c r="CG35" s="15"/>
      <c r="CH35" s="61"/>
      <c r="CI35" s="182"/>
      <c r="CJ35" s="52"/>
      <c r="CK35" s="212"/>
      <c r="CL35" s="214"/>
      <c r="CM35" s="216"/>
      <c r="CN35" s="186"/>
      <c r="CO35" s="186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 s="119" customFormat="1" ht="11.45" customHeight="1" x14ac:dyDescent="0.2">
      <c r="A36" s="182">
        <v>1300</v>
      </c>
      <c r="B36" s="44"/>
      <c r="C36" s="5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85"/>
      <c r="Q36" s="5"/>
      <c r="R36" s="9"/>
      <c r="S36" s="9"/>
      <c r="T36" s="9"/>
      <c r="U36" s="9"/>
      <c r="V36" s="9"/>
      <c r="W36" s="9"/>
      <c r="X36" s="9"/>
      <c r="Y36" s="9"/>
      <c r="Z36" s="9"/>
      <c r="AA36" s="10"/>
      <c r="AB36" s="10"/>
      <c r="AC36" s="11"/>
      <c r="AD36" s="85"/>
      <c r="AE36" s="5"/>
      <c r="AF36" s="9"/>
      <c r="AG36" s="9"/>
      <c r="AH36" s="9"/>
      <c r="AI36" s="9"/>
      <c r="AJ36" s="9"/>
      <c r="AK36" s="9"/>
      <c r="AL36" s="9"/>
      <c r="AM36" s="10"/>
      <c r="AN36" s="10"/>
      <c r="AO36" s="10"/>
      <c r="AP36" s="10"/>
      <c r="AQ36" s="11"/>
      <c r="AR36" s="85"/>
      <c r="AS36" s="5"/>
      <c r="AT36" s="9"/>
      <c r="AU36" s="9"/>
      <c r="AV36" s="9"/>
      <c r="AW36" s="9"/>
      <c r="AX36" s="9"/>
      <c r="AY36" s="9"/>
      <c r="AZ36" s="10"/>
      <c r="BA36" s="10"/>
      <c r="BB36" s="10"/>
      <c r="BC36" s="10"/>
      <c r="BD36" s="10"/>
      <c r="BE36" s="11"/>
      <c r="BF36" s="85"/>
      <c r="BG36" s="5"/>
      <c r="BH36" s="9"/>
      <c r="BI36" s="9"/>
      <c r="BJ36" s="9"/>
      <c r="BK36" s="9"/>
      <c r="BL36" s="9"/>
      <c r="BM36" s="9"/>
      <c r="BN36" s="9"/>
      <c r="BO36" s="10"/>
      <c r="BP36" s="10"/>
      <c r="BQ36" s="10"/>
      <c r="BR36" s="10"/>
      <c r="BS36" s="11"/>
      <c r="BT36" s="85"/>
      <c r="BU36" s="5"/>
      <c r="BV36" s="9"/>
      <c r="BW36" s="9"/>
      <c r="BX36" s="9"/>
      <c r="BY36" s="9"/>
      <c r="BZ36" s="9"/>
      <c r="CA36" s="9"/>
      <c r="CB36" s="10"/>
      <c r="CC36" s="10"/>
      <c r="CD36" s="10"/>
      <c r="CE36" s="10"/>
      <c r="CF36" s="10"/>
      <c r="CG36" s="11"/>
      <c r="CH36" s="61"/>
      <c r="CI36" s="182">
        <v>1300</v>
      </c>
      <c r="CJ36" s="52"/>
      <c r="CK36" s="211"/>
      <c r="CL36" s="213"/>
      <c r="CM36" s="215"/>
      <c r="CN36" s="185"/>
      <c r="CO36" s="185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7" spans="1:143" s="119" customFormat="1" ht="11.45" customHeight="1" x14ac:dyDescent="0.2">
      <c r="A37" s="182"/>
      <c r="B37" s="44"/>
      <c r="C37" s="12"/>
      <c r="D37" s="13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85"/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  <c r="AC37" s="15"/>
      <c r="AD37" s="85"/>
      <c r="AE37" s="12"/>
      <c r="AF37" s="13"/>
      <c r="AG37" s="13"/>
      <c r="AH37" s="13"/>
      <c r="AI37" s="13"/>
      <c r="AJ37" s="13"/>
      <c r="AK37" s="13"/>
      <c r="AL37" s="13"/>
      <c r="AM37" s="14"/>
      <c r="AN37" s="14"/>
      <c r="AO37" s="14"/>
      <c r="AP37" s="14"/>
      <c r="AQ37" s="15"/>
      <c r="AR37" s="85"/>
      <c r="AS37" s="12"/>
      <c r="AT37" s="13"/>
      <c r="AU37" s="13"/>
      <c r="AV37" s="13"/>
      <c r="AW37" s="13"/>
      <c r="AX37" s="13"/>
      <c r="AY37" s="13"/>
      <c r="AZ37" s="14"/>
      <c r="BA37" s="14"/>
      <c r="BB37" s="14"/>
      <c r="BC37" s="14"/>
      <c r="BD37" s="14"/>
      <c r="BE37" s="15"/>
      <c r="BF37" s="85"/>
      <c r="BG37" s="12"/>
      <c r="BH37" s="13"/>
      <c r="BI37" s="13"/>
      <c r="BJ37" s="13"/>
      <c r="BK37" s="13"/>
      <c r="BL37" s="13"/>
      <c r="BM37" s="13"/>
      <c r="BN37" s="13"/>
      <c r="BO37" s="14"/>
      <c r="BP37" s="14"/>
      <c r="BQ37" s="14"/>
      <c r="BR37" s="14"/>
      <c r="BS37" s="15"/>
      <c r="BT37" s="85"/>
      <c r="BU37" s="12"/>
      <c r="BV37" s="13"/>
      <c r="BW37" s="13"/>
      <c r="BX37" s="13"/>
      <c r="BY37" s="13"/>
      <c r="BZ37" s="13"/>
      <c r="CA37" s="13"/>
      <c r="CB37" s="14"/>
      <c r="CC37" s="14"/>
      <c r="CD37" s="14"/>
      <c r="CE37" s="14"/>
      <c r="CF37" s="14"/>
      <c r="CG37" s="15"/>
      <c r="CH37" s="61"/>
      <c r="CI37" s="182"/>
      <c r="CJ37" s="52"/>
      <c r="CK37" s="212"/>
      <c r="CL37" s="214"/>
      <c r="CM37" s="216"/>
      <c r="CN37" s="186"/>
      <c r="CO37" s="186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</row>
    <row r="38" spans="1:143" s="119" customFormat="1" ht="11.45" customHeight="1" x14ac:dyDescent="0.2">
      <c r="A38" s="182"/>
      <c r="B38" s="44"/>
      <c r="C38" s="5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85"/>
      <c r="Q38" s="5"/>
      <c r="R38" s="9"/>
      <c r="S38" s="9"/>
      <c r="T38" s="9"/>
      <c r="U38" s="9"/>
      <c r="V38" s="9"/>
      <c r="W38" s="9"/>
      <c r="X38" s="9"/>
      <c r="Y38" s="9"/>
      <c r="Z38" s="9"/>
      <c r="AA38" s="10"/>
      <c r="AB38" s="10"/>
      <c r="AC38" s="11"/>
      <c r="AD38" s="85"/>
      <c r="AE38" s="5"/>
      <c r="AF38" s="9"/>
      <c r="AG38" s="9"/>
      <c r="AH38" s="9"/>
      <c r="AI38" s="9"/>
      <c r="AJ38" s="9"/>
      <c r="AK38" s="9"/>
      <c r="AL38" s="9"/>
      <c r="AM38" s="10"/>
      <c r="AN38" s="10"/>
      <c r="AO38" s="10"/>
      <c r="AP38" s="10"/>
      <c r="AQ38" s="11"/>
      <c r="AR38" s="85"/>
      <c r="AS38" s="5"/>
      <c r="AT38" s="9"/>
      <c r="AU38" s="9"/>
      <c r="AV38" s="9"/>
      <c r="AW38" s="9"/>
      <c r="AX38" s="9"/>
      <c r="AY38" s="9"/>
      <c r="AZ38" s="10"/>
      <c r="BA38" s="10"/>
      <c r="BB38" s="10"/>
      <c r="BC38" s="10"/>
      <c r="BD38" s="10"/>
      <c r="BE38" s="11"/>
      <c r="BF38" s="85"/>
      <c r="BG38" s="5"/>
      <c r="BH38" s="9"/>
      <c r="BI38" s="9"/>
      <c r="BJ38" s="9"/>
      <c r="BK38" s="9"/>
      <c r="BL38" s="9"/>
      <c r="BM38" s="9"/>
      <c r="BN38" s="9"/>
      <c r="BO38" s="10"/>
      <c r="BP38" s="10"/>
      <c r="BQ38" s="10"/>
      <c r="BR38" s="10"/>
      <c r="BS38" s="11"/>
      <c r="BT38" s="85"/>
      <c r="BU38" s="5"/>
      <c r="BV38" s="9"/>
      <c r="BW38" s="9"/>
      <c r="BX38" s="9"/>
      <c r="BY38" s="9"/>
      <c r="BZ38" s="9"/>
      <c r="CA38" s="9"/>
      <c r="CB38" s="10"/>
      <c r="CC38" s="10"/>
      <c r="CD38" s="10"/>
      <c r="CE38" s="10"/>
      <c r="CF38" s="10"/>
      <c r="CG38" s="11"/>
      <c r="CH38" s="61"/>
      <c r="CI38" s="182"/>
      <c r="CJ38" s="52"/>
      <c r="CK38" s="211"/>
      <c r="CL38" s="213"/>
      <c r="CM38" s="215"/>
      <c r="CN38" s="185"/>
      <c r="CO38" s="185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</row>
    <row r="39" spans="1:143" s="119" customFormat="1" ht="11.45" customHeight="1" x14ac:dyDescent="0.2">
      <c r="A39" s="182"/>
      <c r="B39" s="44"/>
      <c r="C39" s="12"/>
      <c r="D39" s="13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85"/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  <c r="AC39" s="15"/>
      <c r="AD39" s="85"/>
      <c r="AE39" s="12"/>
      <c r="AF39" s="13"/>
      <c r="AG39" s="13"/>
      <c r="AH39" s="13"/>
      <c r="AI39" s="13"/>
      <c r="AJ39" s="13"/>
      <c r="AK39" s="13"/>
      <c r="AL39" s="13"/>
      <c r="AM39" s="14"/>
      <c r="AN39" s="14"/>
      <c r="AO39" s="14"/>
      <c r="AP39" s="14"/>
      <c r="AQ39" s="15"/>
      <c r="AR39" s="85"/>
      <c r="AS39" s="12"/>
      <c r="AT39" s="13"/>
      <c r="AU39" s="13"/>
      <c r="AV39" s="13"/>
      <c r="AW39" s="13"/>
      <c r="AX39" s="13"/>
      <c r="AY39" s="13"/>
      <c r="AZ39" s="14"/>
      <c r="BA39" s="14"/>
      <c r="BB39" s="14"/>
      <c r="BC39" s="14"/>
      <c r="BD39" s="14"/>
      <c r="BE39" s="15"/>
      <c r="BF39" s="85"/>
      <c r="BG39" s="12"/>
      <c r="BH39" s="13"/>
      <c r="BI39" s="13"/>
      <c r="BJ39" s="13"/>
      <c r="BK39" s="13"/>
      <c r="BL39" s="13"/>
      <c r="BM39" s="13"/>
      <c r="BN39" s="13"/>
      <c r="BO39" s="14"/>
      <c r="BP39" s="14"/>
      <c r="BQ39" s="14"/>
      <c r="BR39" s="14"/>
      <c r="BS39" s="15"/>
      <c r="BT39" s="85"/>
      <c r="BU39" s="25"/>
      <c r="BV39" s="6"/>
      <c r="BW39" s="6"/>
      <c r="BX39" s="6"/>
      <c r="BY39" s="6"/>
      <c r="BZ39" s="6"/>
      <c r="CA39" s="6"/>
      <c r="CB39" s="86"/>
      <c r="CC39" s="86"/>
      <c r="CD39" s="86"/>
      <c r="CE39" s="86"/>
      <c r="CF39" s="86"/>
      <c r="CG39" s="87"/>
      <c r="CH39" s="61"/>
      <c r="CI39" s="182"/>
      <c r="CJ39" s="52"/>
      <c r="CK39" s="212"/>
      <c r="CL39" s="214"/>
      <c r="CM39" s="216"/>
      <c r="CN39" s="186"/>
      <c r="CO39" s="186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</row>
    <row r="40" spans="1:143" s="119" customFormat="1" ht="11.45" customHeight="1" x14ac:dyDescent="0.2">
      <c r="A40" s="182">
        <v>1400</v>
      </c>
      <c r="B40" s="44"/>
      <c r="C40" s="5"/>
      <c r="D40" s="9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1"/>
      <c r="P40" s="85"/>
      <c r="Q40" s="5"/>
      <c r="R40" s="9"/>
      <c r="S40" s="9"/>
      <c r="T40" s="9"/>
      <c r="U40" s="9"/>
      <c r="V40" s="9"/>
      <c r="W40" s="9"/>
      <c r="X40" s="9"/>
      <c r="Y40" s="9"/>
      <c r="Z40" s="9"/>
      <c r="AA40" s="10"/>
      <c r="AB40" s="10"/>
      <c r="AC40" s="11"/>
      <c r="AD40" s="85"/>
      <c r="AE40" s="5"/>
      <c r="AF40" s="9"/>
      <c r="AG40" s="9"/>
      <c r="AH40" s="9"/>
      <c r="AI40" s="9"/>
      <c r="AJ40" s="9"/>
      <c r="AK40" s="9"/>
      <c r="AL40" s="9"/>
      <c r="AM40" s="10"/>
      <c r="AN40" s="10"/>
      <c r="AO40" s="10"/>
      <c r="AP40" s="10"/>
      <c r="AQ40" s="11"/>
      <c r="AR40" s="85"/>
      <c r="AS40" s="5"/>
      <c r="AT40" s="9"/>
      <c r="AU40" s="9"/>
      <c r="AV40" s="9"/>
      <c r="AW40" s="9"/>
      <c r="AX40" s="9"/>
      <c r="AY40" s="9"/>
      <c r="AZ40" s="10"/>
      <c r="BA40" s="10"/>
      <c r="BB40" s="10"/>
      <c r="BC40" s="10"/>
      <c r="BD40" s="10"/>
      <c r="BE40" s="11"/>
      <c r="BF40" s="85"/>
      <c r="BG40" s="5"/>
      <c r="BH40" s="9"/>
      <c r="BI40" s="9"/>
      <c r="BJ40" s="9"/>
      <c r="BK40" s="9"/>
      <c r="BL40" s="9"/>
      <c r="BM40" s="9"/>
      <c r="BN40" s="9"/>
      <c r="BO40" s="10"/>
      <c r="BP40" s="10"/>
      <c r="BQ40" s="10"/>
      <c r="BR40" s="10"/>
      <c r="BS40" s="11"/>
      <c r="BT40" s="85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9"/>
      <c r="CH40" s="61"/>
      <c r="CI40" s="182">
        <v>1400</v>
      </c>
      <c r="CJ40" s="52"/>
      <c r="CK40" s="211"/>
      <c r="CL40" s="213"/>
      <c r="CM40" s="215"/>
      <c r="CN40" s="185"/>
      <c r="CO40" s="185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</row>
    <row r="41" spans="1:143" s="119" customFormat="1" ht="11.45" customHeight="1" x14ac:dyDescent="0.2">
      <c r="A41" s="182"/>
      <c r="B41" s="44"/>
      <c r="C41" s="12"/>
      <c r="D41" s="13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85"/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  <c r="AC41" s="15"/>
      <c r="AD41" s="85"/>
      <c r="AE41" s="12"/>
      <c r="AF41" s="13"/>
      <c r="AG41" s="13"/>
      <c r="AH41" s="13"/>
      <c r="AI41" s="13"/>
      <c r="AJ41" s="13"/>
      <c r="AK41" s="13"/>
      <c r="AL41" s="13"/>
      <c r="AM41" s="14"/>
      <c r="AN41" s="14"/>
      <c r="AO41" s="14"/>
      <c r="AP41" s="14"/>
      <c r="AQ41" s="15"/>
      <c r="AR41" s="85"/>
      <c r="AS41" s="12"/>
      <c r="AT41" s="13"/>
      <c r="AU41" s="13"/>
      <c r="AV41" s="13"/>
      <c r="AW41" s="13"/>
      <c r="AX41" s="13"/>
      <c r="AY41" s="13"/>
      <c r="AZ41" s="14"/>
      <c r="BA41" s="14"/>
      <c r="BB41" s="14"/>
      <c r="BC41" s="14"/>
      <c r="BD41" s="14"/>
      <c r="BE41" s="15"/>
      <c r="BF41" s="85"/>
      <c r="BG41" s="12"/>
      <c r="BH41" s="13"/>
      <c r="BI41" s="13"/>
      <c r="BJ41" s="13"/>
      <c r="BK41" s="13"/>
      <c r="BL41" s="13"/>
      <c r="BM41" s="13"/>
      <c r="BN41" s="13"/>
      <c r="BO41" s="14"/>
      <c r="BP41" s="14"/>
      <c r="BQ41" s="14"/>
      <c r="BR41" s="14"/>
      <c r="BS41" s="15"/>
      <c r="BT41" s="85"/>
      <c r="BU41" s="217" t="s">
        <v>42</v>
      </c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9"/>
      <c r="CH41" s="62"/>
      <c r="CI41" s="182"/>
      <c r="CJ41" s="52"/>
      <c r="CK41" s="212"/>
      <c r="CL41" s="214"/>
      <c r="CM41" s="216"/>
      <c r="CN41" s="186"/>
      <c r="CO41" s="186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</row>
    <row r="42" spans="1:143" s="119" customFormat="1" ht="11.45" customHeight="1" x14ac:dyDescent="0.2">
      <c r="A42" s="182"/>
      <c r="B42" s="44"/>
      <c r="C42" s="5"/>
      <c r="D42" s="9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1"/>
      <c r="P42" s="85"/>
      <c r="Q42" s="5"/>
      <c r="R42" s="9"/>
      <c r="S42" s="9"/>
      <c r="T42" s="9"/>
      <c r="U42" s="9"/>
      <c r="V42" s="9"/>
      <c r="W42" s="9"/>
      <c r="X42" s="9"/>
      <c r="Y42" s="9"/>
      <c r="Z42" s="9"/>
      <c r="AA42" s="10"/>
      <c r="AB42" s="10"/>
      <c r="AC42" s="11"/>
      <c r="AD42" s="85"/>
      <c r="AE42" s="5"/>
      <c r="AF42" s="9"/>
      <c r="AG42" s="9"/>
      <c r="AH42" s="9"/>
      <c r="AI42" s="9"/>
      <c r="AJ42" s="9"/>
      <c r="AK42" s="9"/>
      <c r="AL42" s="9"/>
      <c r="AM42" s="10"/>
      <c r="AN42" s="10"/>
      <c r="AO42" s="10"/>
      <c r="AP42" s="10"/>
      <c r="AQ42" s="11"/>
      <c r="AR42" s="85"/>
      <c r="AS42" s="5"/>
      <c r="AT42" s="9"/>
      <c r="AU42" s="9"/>
      <c r="AV42" s="9"/>
      <c r="AW42" s="9"/>
      <c r="AX42" s="9"/>
      <c r="AY42" s="9"/>
      <c r="AZ42" s="10"/>
      <c r="BA42" s="10"/>
      <c r="BB42" s="10"/>
      <c r="BC42" s="10"/>
      <c r="BD42" s="10"/>
      <c r="BE42" s="11"/>
      <c r="BF42" s="85"/>
      <c r="BG42" s="5"/>
      <c r="BH42" s="9"/>
      <c r="BI42" s="9"/>
      <c r="BJ42" s="9"/>
      <c r="BK42" s="9"/>
      <c r="BL42" s="9"/>
      <c r="BM42" s="9"/>
      <c r="BN42" s="9"/>
      <c r="BO42" s="10"/>
      <c r="BP42" s="10"/>
      <c r="BQ42" s="10"/>
      <c r="BR42" s="10"/>
      <c r="BS42" s="11"/>
      <c r="BT42" s="85"/>
      <c r="BU42" s="217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9"/>
      <c r="CH42" s="62"/>
      <c r="CI42" s="182"/>
      <c r="CJ42" s="52"/>
      <c r="CK42" s="211"/>
      <c r="CL42" s="213"/>
      <c r="CM42" s="215"/>
      <c r="CN42" s="185"/>
      <c r="CO42" s="185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</row>
    <row r="43" spans="1:143" s="119" customFormat="1" ht="11.45" customHeight="1" x14ac:dyDescent="0.2">
      <c r="A43" s="182"/>
      <c r="B43" s="44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5"/>
      <c r="P43" s="85"/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  <c r="AC43" s="15"/>
      <c r="AD43" s="85"/>
      <c r="AE43" s="12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21"/>
      <c r="AR43" s="85"/>
      <c r="AS43" s="12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21"/>
      <c r="BF43" s="85"/>
      <c r="BG43" s="12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5"/>
      <c r="BT43" s="85"/>
      <c r="BU43" s="205">
        <f>$U$3+6</f>
        <v>43989</v>
      </c>
      <c r="BV43" s="206"/>
      <c r="BW43" s="206"/>
      <c r="BX43" s="206"/>
      <c r="BY43" s="206"/>
      <c r="BZ43" s="206"/>
      <c r="CA43" s="206"/>
      <c r="CB43" s="206"/>
      <c r="CC43" s="206"/>
      <c r="CD43" s="206"/>
      <c r="CE43" s="206"/>
      <c r="CF43" s="206"/>
      <c r="CG43" s="207"/>
      <c r="CH43" s="63"/>
      <c r="CI43" s="182"/>
      <c r="CJ43" s="52"/>
      <c r="CK43" s="212"/>
      <c r="CL43" s="214"/>
      <c r="CM43" s="216"/>
      <c r="CN43" s="186"/>
      <c r="CO43" s="186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</row>
    <row r="44" spans="1:143" s="119" customFormat="1" ht="11.45" customHeight="1" x14ac:dyDescent="0.2">
      <c r="A44" s="182">
        <v>1500</v>
      </c>
      <c r="B44" s="44"/>
      <c r="C44" s="25"/>
      <c r="D44" s="6"/>
      <c r="E44" s="6"/>
      <c r="F44" s="9"/>
      <c r="G44" s="9"/>
      <c r="H44" s="9"/>
      <c r="I44" s="9"/>
      <c r="J44" s="9"/>
      <c r="K44" s="9"/>
      <c r="L44" s="9"/>
      <c r="M44" s="9"/>
      <c r="N44" s="10"/>
      <c r="O44" s="11"/>
      <c r="P44" s="85"/>
      <c r="Q44" s="5"/>
      <c r="R44" s="6"/>
      <c r="S44" s="6"/>
      <c r="T44" s="6"/>
      <c r="U44" s="6"/>
      <c r="V44" s="6"/>
      <c r="W44" s="6"/>
      <c r="X44" s="6"/>
      <c r="Y44" s="6"/>
      <c r="Z44" s="6"/>
      <c r="AA44" s="9"/>
      <c r="AB44" s="10"/>
      <c r="AC44" s="11"/>
      <c r="AD44" s="85"/>
      <c r="AE44" s="5"/>
      <c r="AF44" s="6"/>
      <c r="AG44" s="6"/>
      <c r="AH44" s="6"/>
      <c r="AI44" s="6"/>
      <c r="AJ44" s="6"/>
      <c r="AK44" s="6"/>
      <c r="AL44" s="6"/>
      <c r="AM44" s="9"/>
      <c r="AN44" s="9"/>
      <c r="AO44" s="9"/>
      <c r="AP44" s="9"/>
      <c r="AQ44" s="11"/>
      <c r="AR44" s="85"/>
      <c r="AS44" s="25"/>
      <c r="AT44" s="6"/>
      <c r="AU44" s="6"/>
      <c r="AV44" s="6"/>
      <c r="AW44" s="6"/>
      <c r="AX44" s="6"/>
      <c r="AY44" s="6"/>
      <c r="AZ44" s="9"/>
      <c r="BA44" s="9"/>
      <c r="BB44" s="9"/>
      <c r="BC44" s="9"/>
      <c r="BD44" s="9"/>
      <c r="BE44" s="11"/>
      <c r="BF44" s="85"/>
      <c r="BG44" s="25"/>
      <c r="BH44" s="6"/>
      <c r="BI44" s="6"/>
      <c r="BJ44" s="6"/>
      <c r="BK44" s="6"/>
      <c r="BL44" s="6"/>
      <c r="BM44" s="6"/>
      <c r="BN44" s="6"/>
      <c r="BO44" s="9"/>
      <c r="BP44" s="9"/>
      <c r="BQ44" s="9"/>
      <c r="BR44" s="9"/>
      <c r="BS44" s="11"/>
      <c r="BT44" s="85"/>
      <c r="BU44" s="208"/>
      <c r="BV44" s="209"/>
      <c r="BW44" s="209"/>
      <c r="BX44" s="209"/>
      <c r="BY44" s="209"/>
      <c r="BZ44" s="209"/>
      <c r="CA44" s="209"/>
      <c r="CB44" s="209"/>
      <c r="CC44" s="209"/>
      <c r="CD44" s="209"/>
      <c r="CE44" s="209"/>
      <c r="CF44" s="209"/>
      <c r="CG44" s="210"/>
      <c r="CH44" s="63"/>
      <c r="CI44" s="182">
        <v>1500</v>
      </c>
      <c r="CJ44" s="52"/>
      <c r="CK44" s="211"/>
      <c r="CL44" s="213"/>
      <c r="CM44" s="215"/>
      <c r="CN44" s="185"/>
      <c r="CO44" s="185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</row>
    <row r="45" spans="1:143" s="119" customFormat="1" ht="11.45" customHeight="1" x14ac:dyDescent="0.2">
      <c r="A45" s="182"/>
      <c r="B45" s="44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5"/>
      <c r="P45" s="85"/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15"/>
      <c r="AD45" s="85"/>
      <c r="AE45" s="12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5"/>
      <c r="AR45" s="85"/>
      <c r="AS45" s="12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5"/>
      <c r="BF45" s="85"/>
      <c r="BG45" s="12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5"/>
      <c r="BT45" s="85"/>
      <c r="BU45" s="12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5"/>
      <c r="CH45" s="61"/>
      <c r="CI45" s="182"/>
      <c r="CJ45" s="52"/>
      <c r="CK45" s="212"/>
      <c r="CL45" s="214"/>
      <c r="CM45" s="216"/>
      <c r="CN45" s="186"/>
      <c r="CO45" s="186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</row>
    <row r="46" spans="1:143" s="119" customFormat="1" ht="11.45" customHeight="1" x14ac:dyDescent="0.2">
      <c r="A46" s="182"/>
      <c r="B46" s="44"/>
      <c r="C46" s="25"/>
      <c r="D46" s="6"/>
      <c r="E46" s="6"/>
      <c r="F46" s="9"/>
      <c r="G46" s="9"/>
      <c r="H46" s="9"/>
      <c r="I46" s="9"/>
      <c r="J46" s="9"/>
      <c r="K46" s="9"/>
      <c r="L46" s="9"/>
      <c r="M46" s="9"/>
      <c r="N46" s="10"/>
      <c r="O46" s="11"/>
      <c r="P46" s="85"/>
      <c r="Q46" s="5"/>
      <c r="R46" s="6"/>
      <c r="S46" s="6"/>
      <c r="T46" s="6"/>
      <c r="U46" s="6"/>
      <c r="V46" s="6"/>
      <c r="W46" s="6"/>
      <c r="X46" s="6"/>
      <c r="Y46" s="6"/>
      <c r="Z46" s="6"/>
      <c r="AA46" s="9"/>
      <c r="AB46" s="10"/>
      <c r="AC46" s="11"/>
      <c r="AD46" s="85"/>
      <c r="AE46" s="5"/>
      <c r="AF46" s="6"/>
      <c r="AG46" s="6"/>
      <c r="AH46" s="6"/>
      <c r="AI46" s="6"/>
      <c r="AJ46" s="6"/>
      <c r="AK46" s="6"/>
      <c r="AL46" s="6"/>
      <c r="AM46" s="9"/>
      <c r="AN46" s="9"/>
      <c r="AO46" s="9"/>
      <c r="AP46" s="9"/>
      <c r="AQ46" s="11"/>
      <c r="AR46" s="85"/>
      <c r="AS46" s="25"/>
      <c r="AT46" s="6"/>
      <c r="AU46" s="6"/>
      <c r="AV46" s="6"/>
      <c r="AW46" s="6"/>
      <c r="AX46" s="6"/>
      <c r="AY46" s="6"/>
      <c r="AZ46" s="9"/>
      <c r="BA46" s="9"/>
      <c r="BB46" s="9"/>
      <c r="BC46" s="9"/>
      <c r="BD46" s="9"/>
      <c r="BE46" s="11"/>
      <c r="BF46" s="85"/>
      <c r="BG46" s="25"/>
      <c r="BH46" s="6"/>
      <c r="BI46" s="6"/>
      <c r="BJ46" s="6"/>
      <c r="BK46" s="6"/>
      <c r="BL46" s="6"/>
      <c r="BM46" s="6"/>
      <c r="BN46" s="6"/>
      <c r="BO46" s="9"/>
      <c r="BP46" s="9"/>
      <c r="BQ46" s="9"/>
      <c r="BR46" s="9"/>
      <c r="BS46" s="11"/>
      <c r="BT46" s="85"/>
      <c r="BU46" s="25"/>
      <c r="BV46" s="6"/>
      <c r="BW46" s="6"/>
      <c r="BX46" s="6"/>
      <c r="BY46" s="6"/>
      <c r="BZ46" s="6"/>
      <c r="CA46" s="6"/>
      <c r="CB46" s="9"/>
      <c r="CC46" s="9"/>
      <c r="CD46" s="9"/>
      <c r="CE46" s="9"/>
      <c r="CF46" s="9"/>
      <c r="CG46" s="11"/>
      <c r="CH46" s="61"/>
      <c r="CI46" s="182"/>
      <c r="CJ46" s="52"/>
      <c r="CK46" s="211"/>
      <c r="CL46" s="213"/>
      <c r="CM46" s="215"/>
      <c r="CN46" s="185"/>
      <c r="CO46" s="185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</row>
    <row r="47" spans="1:143" s="119" customFormat="1" ht="11.45" customHeight="1" x14ac:dyDescent="0.2">
      <c r="A47" s="182"/>
      <c r="B47" s="44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5"/>
      <c r="P47" s="85"/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4"/>
      <c r="AC47" s="15"/>
      <c r="AD47" s="85"/>
      <c r="AE47" s="12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5"/>
      <c r="AR47" s="85"/>
      <c r="AS47" s="12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5"/>
      <c r="BF47" s="85"/>
      <c r="BG47" s="12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5"/>
      <c r="BT47" s="85"/>
      <c r="BU47" s="12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5"/>
      <c r="CH47" s="61"/>
      <c r="CI47" s="182"/>
      <c r="CJ47" s="52"/>
      <c r="CK47" s="212"/>
      <c r="CL47" s="214"/>
      <c r="CM47" s="216"/>
      <c r="CN47" s="186"/>
      <c r="CO47" s="186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</row>
    <row r="48" spans="1:143" s="119" customFormat="1" ht="11.45" customHeight="1" x14ac:dyDescent="0.2">
      <c r="A48" s="182">
        <v>1600</v>
      </c>
      <c r="B48" s="44"/>
      <c r="C48" s="5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  <c r="O48" s="11"/>
      <c r="P48" s="85"/>
      <c r="Q48" s="5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11"/>
      <c r="AD48" s="85"/>
      <c r="AE48" s="5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11"/>
      <c r="AR48" s="85"/>
      <c r="AS48" s="5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11"/>
      <c r="BF48" s="85"/>
      <c r="BG48" s="5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11"/>
      <c r="BT48" s="85"/>
      <c r="BU48" s="5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11"/>
      <c r="CH48" s="61"/>
      <c r="CI48" s="182">
        <v>1600</v>
      </c>
      <c r="CJ48" s="52"/>
      <c r="CK48" s="211"/>
      <c r="CL48" s="213"/>
      <c r="CM48" s="215"/>
      <c r="CN48" s="185"/>
      <c r="CO48" s="185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1:143" s="119" customFormat="1" ht="11.45" customHeight="1" x14ac:dyDescent="0.2">
      <c r="A49" s="182"/>
      <c r="B49" s="44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5"/>
      <c r="P49" s="85"/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4"/>
      <c r="AC49" s="15"/>
      <c r="AD49" s="85"/>
      <c r="AE49" s="12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5"/>
      <c r="AR49" s="85"/>
      <c r="AS49" s="12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5"/>
      <c r="BF49" s="85"/>
      <c r="BG49" s="12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5"/>
      <c r="BT49" s="85"/>
      <c r="BU49" s="12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5"/>
      <c r="CH49" s="61"/>
      <c r="CI49" s="182"/>
      <c r="CJ49" s="52"/>
      <c r="CK49" s="212"/>
      <c r="CL49" s="214"/>
      <c r="CM49" s="216"/>
      <c r="CN49" s="186"/>
      <c r="CO49" s="186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1:143" s="119" customFormat="1" ht="11.45" customHeight="1" x14ac:dyDescent="0.2">
      <c r="A50" s="182"/>
      <c r="B50" s="44"/>
      <c r="C50" s="25"/>
      <c r="D50" s="6"/>
      <c r="E50" s="6"/>
      <c r="F50" s="9"/>
      <c r="G50" s="9"/>
      <c r="H50" s="9"/>
      <c r="I50" s="9"/>
      <c r="J50" s="9"/>
      <c r="K50" s="9"/>
      <c r="L50" s="9"/>
      <c r="M50" s="9"/>
      <c r="N50" s="10"/>
      <c r="O50" s="11"/>
      <c r="P50" s="85"/>
      <c r="Q50" s="5"/>
      <c r="R50" s="6"/>
      <c r="S50" s="6"/>
      <c r="T50" s="6"/>
      <c r="U50" s="6"/>
      <c r="V50" s="6"/>
      <c r="W50" s="6"/>
      <c r="X50" s="6"/>
      <c r="Y50" s="6"/>
      <c r="Z50" s="6"/>
      <c r="AA50" s="9"/>
      <c r="AB50" s="10"/>
      <c r="AC50" s="11"/>
      <c r="AD50" s="85"/>
      <c r="AE50" s="5"/>
      <c r="AF50" s="6"/>
      <c r="AG50" s="6"/>
      <c r="AH50" s="6"/>
      <c r="AI50" s="6"/>
      <c r="AJ50" s="6"/>
      <c r="AK50" s="6"/>
      <c r="AL50" s="6"/>
      <c r="AM50" s="9"/>
      <c r="AN50" s="9"/>
      <c r="AO50" s="9"/>
      <c r="AP50" s="9"/>
      <c r="AQ50" s="26"/>
      <c r="AR50" s="85"/>
      <c r="AS50" s="25"/>
      <c r="AT50" s="6"/>
      <c r="AU50" s="6"/>
      <c r="AV50" s="6"/>
      <c r="AW50" s="6"/>
      <c r="AX50" s="6"/>
      <c r="AY50" s="6"/>
      <c r="AZ50" s="9"/>
      <c r="BA50" s="9"/>
      <c r="BB50" s="9"/>
      <c r="BC50" s="9"/>
      <c r="BD50" s="9"/>
      <c r="BE50" s="26"/>
      <c r="BF50" s="85"/>
      <c r="BG50" s="25"/>
      <c r="BH50" s="6"/>
      <c r="BI50" s="6"/>
      <c r="BJ50" s="6"/>
      <c r="BK50" s="6"/>
      <c r="BL50" s="6"/>
      <c r="BM50" s="6"/>
      <c r="BN50" s="6"/>
      <c r="BO50" s="9"/>
      <c r="BP50" s="9"/>
      <c r="BQ50" s="9"/>
      <c r="BR50" s="9"/>
      <c r="BS50" s="11"/>
      <c r="BT50" s="85"/>
      <c r="BU50" s="25"/>
      <c r="BV50" s="6"/>
      <c r="BW50" s="6"/>
      <c r="BX50" s="6"/>
      <c r="BY50" s="6"/>
      <c r="BZ50" s="6"/>
      <c r="CA50" s="6"/>
      <c r="CB50" s="9"/>
      <c r="CC50" s="9"/>
      <c r="CD50" s="9"/>
      <c r="CE50" s="9"/>
      <c r="CF50" s="9"/>
      <c r="CG50" s="26"/>
      <c r="CH50" s="64"/>
      <c r="CI50" s="182"/>
      <c r="CJ50" s="52"/>
      <c r="CK50" s="211"/>
      <c r="CL50" s="213"/>
      <c r="CM50" s="215"/>
      <c r="CN50" s="185"/>
      <c r="CO50" s="185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1:143" s="119" customFormat="1" ht="11.45" customHeight="1" x14ac:dyDescent="0.2">
      <c r="A51" s="182"/>
      <c r="B51" s="44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5"/>
      <c r="P51" s="85"/>
      <c r="Q51" s="12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4"/>
      <c r="AC51" s="15"/>
      <c r="AD51" s="85"/>
      <c r="AE51" s="12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27"/>
      <c r="AR51" s="85"/>
      <c r="AS51" s="12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27"/>
      <c r="BF51" s="85"/>
      <c r="BG51" s="12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5"/>
      <c r="BT51" s="85"/>
      <c r="BU51" s="12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27"/>
      <c r="CH51" s="64"/>
      <c r="CI51" s="182"/>
      <c r="CJ51" s="52"/>
      <c r="CK51" s="212"/>
      <c r="CL51" s="214"/>
      <c r="CM51" s="216"/>
      <c r="CN51" s="186"/>
      <c r="CO51" s="186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</row>
    <row r="52" spans="1:143" s="119" customFormat="1" ht="11.45" customHeight="1" x14ac:dyDescent="0.2">
      <c r="A52" s="182">
        <v>1700</v>
      </c>
      <c r="B52" s="44"/>
      <c r="C52" s="25"/>
      <c r="D52" s="6"/>
      <c r="E52" s="6"/>
      <c r="F52" s="9"/>
      <c r="G52" s="9"/>
      <c r="H52" s="9"/>
      <c r="I52" s="9"/>
      <c r="J52" s="9"/>
      <c r="K52" s="9"/>
      <c r="L52" s="9"/>
      <c r="M52" s="9"/>
      <c r="N52" s="10"/>
      <c r="O52" s="11"/>
      <c r="P52" s="85"/>
      <c r="Q52" s="5"/>
      <c r="R52" s="6"/>
      <c r="S52" s="6"/>
      <c r="T52" s="6"/>
      <c r="U52" s="6"/>
      <c r="V52" s="6"/>
      <c r="W52" s="6"/>
      <c r="X52" s="6"/>
      <c r="Y52" s="6"/>
      <c r="Z52" s="6"/>
      <c r="AA52" s="9"/>
      <c r="AB52" s="10"/>
      <c r="AC52" s="11"/>
      <c r="AD52" s="85"/>
      <c r="AE52" s="5"/>
      <c r="AF52" s="6"/>
      <c r="AG52" s="6"/>
      <c r="AH52" s="6"/>
      <c r="AI52" s="6"/>
      <c r="AJ52" s="6"/>
      <c r="AK52" s="6"/>
      <c r="AL52" s="6"/>
      <c r="AM52" s="9"/>
      <c r="AN52" s="9"/>
      <c r="AO52" s="9"/>
      <c r="AP52" s="9"/>
      <c r="AQ52" s="11"/>
      <c r="AR52" s="85"/>
      <c r="AS52" s="25"/>
      <c r="AT52" s="6"/>
      <c r="AU52" s="6"/>
      <c r="AV52" s="6"/>
      <c r="AW52" s="6"/>
      <c r="AX52" s="6"/>
      <c r="AY52" s="6"/>
      <c r="AZ52" s="9"/>
      <c r="BA52" s="9"/>
      <c r="BB52" s="9"/>
      <c r="BC52" s="9"/>
      <c r="BD52" s="9"/>
      <c r="BE52" s="11"/>
      <c r="BF52" s="85"/>
      <c r="BG52" s="25"/>
      <c r="BH52" s="6"/>
      <c r="BI52" s="6"/>
      <c r="BJ52" s="6"/>
      <c r="BK52" s="6"/>
      <c r="BL52" s="6"/>
      <c r="BM52" s="6"/>
      <c r="BN52" s="6"/>
      <c r="BO52" s="9"/>
      <c r="BP52" s="9"/>
      <c r="BQ52" s="9"/>
      <c r="BR52" s="9"/>
      <c r="BS52" s="11"/>
      <c r="BT52" s="85"/>
      <c r="BU52" s="25"/>
      <c r="BV52" s="6"/>
      <c r="BW52" s="6"/>
      <c r="BX52" s="6"/>
      <c r="BY52" s="6"/>
      <c r="BZ52" s="6"/>
      <c r="CA52" s="6"/>
      <c r="CB52" s="9"/>
      <c r="CC52" s="9"/>
      <c r="CD52" s="9"/>
      <c r="CE52" s="9"/>
      <c r="CF52" s="9"/>
      <c r="CG52" s="11"/>
      <c r="CH52" s="61"/>
      <c r="CI52" s="182">
        <v>1700</v>
      </c>
      <c r="CJ52" s="52"/>
      <c r="CK52" s="122"/>
      <c r="CL52" s="59"/>
      <c r="CM52" s="59"/>
      <c r="CN52" s="59"/>
      <c r="CO52" s="60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</row>
    <row r="53" spans="1:143" s="119" customFormat="1" ht="11.45" customHeight="1" x14ac:dyDescent="0.2">
      <c r="A53" s="182"/>
      <c r="B53" s="44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5"/>
      <c r="P53" s="85"/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4"/>
      <c r="AC53" s="15"/>
      <c r="AD53" s="85"/>
      <c r="AE53" s="12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5"/>
      <c r="AR53" s="85"/>
      <c r="AS53" s="12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5"/>
      <c r="BF53" s="85"/>
      <c r="BG53" s="12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5"/>
      <c r="BT53" s="85"/>
      <c r="BU53" s="12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5"/>
      <c r="CH53" s="61"/>
      <c r="CI53" s="182"/>
      <c r="CJ53" s="52"/>
      <c r="CK53" s="187" t="s">
        <v>50</v>
      </c>
      <c r="CL53" s="188"/>
      <c r="CM53" s="188"/>
      <c r="CN53" s="188"/>
      <c r="CO53" s="189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</row>
    <row r="54" spans="1:143" s="119" customFormat="1" ht="11.45" customHeight="1" x14ac:dyDescent="0.2">
      <c r="A54" s="182"/>
      <c r="B54" s="44"/>
      <c r="C54" s="5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  <c r="O54" s="11"/>
      <c r="P54" s="85"/>
      <c r="Q54" s="5"/>
      <c r="R54" s="9"/>
      <c r="S54" s="9"/>
      <c r="T54" s="9"/>
      <c r="U54" s="9"/>
      <c r="V54" s="9"/>
      <c r="W54" s="9"/>
      <c r="X54" s="9"/>
      <c r="Y54" s="9"/>
      <c r="Z54" s="9"/>
      <c r="AA54" s="9"/>
      <c r="AB54" s="10"/>
      <c r="AC54" s="11"/>
      <c r="AD54" s="85"/>
      <c r="AE54" s="5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11"/>
      <c r="AR54" s="85"/>
      <c r="AS54" s="5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11"/>
      <c r="BF54" s="85"/>
      <c r="BG54" s="5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11"/>
      <c r="BT54" s="85"/>
      <c r="BU54" s="25"/>
      <c r="BV54" s="6"/>
      <c r="BW54" s="6"/>
      <c r="BX54" s="6"/>
      <c r="BY54" s="6"/>
      <c r="BZ54" s="6"/>
      <c r="CA54" s="6"/>
      <c r="CB54" s="9"/>
      <c r="CC54" s="9"/>
      <c r="CD54" s="9"/>
      <c r="CE54" s="9"/>
      <c r="CF54" s="9"/>
      <c r="CG54" s="11"/>
      <c r="CH54" s="61"/>
      <c r="CI54" s="182"/>
      <c r="CJ54" s="52"/>
      <c r="CK54" s="190"/>
      <c r="CL54" s="191"/>
      <c r="CM54" s="191"/>
      <c r="CN54" s="191"/>
      <c r="CO54" s="192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1:143" s="119" customFormat="1" ht="11.45" customHeight="1" x14ac:dyDescent="0.2">
      <c r="A55" s="182"/>
      <c r="B55" s="44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5"/>
      <c r="P55" s="85"/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4"/>
      <c r="AC55" s="15"/>
      <c r="AD55" s="85"/>
      <c r="AE55" s="12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5"/>
      <c r="AR55" s="85"/>
      <c r="AS55" s="12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5"/>
      <c r="BF55" s="85"/>
      <c r="BG55" s="12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5"/>
      <c r="BT55" s="85"/>
      <c r="BU55" s="12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5"/>
      <c r="CH55" s="61"/>
      <c r="CI55" s="182"/>
      <c r="CJ55" s="52"/>
      <c r="CK55" s="193" t="s">
        <v>125</v>
      </c>
      <c r="CL55" s="194"/>
      <c r="CM55" s="194"/>
      <c r="CN55" s="194"/>
      <c r="CO55" s="195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</row>
    <row r="56" spans="1:143" s="119" customFormat="1" ht="11.45" customHeight="1" x14ac:dyDescent="0.2">
      <c r="A56" s="182">
        <v>1800</v>
      </c>
      <c r="B56" s="44"/>
      <c r="C56" s="5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1"/>
      <c r="P56" s="85"/>
      <c r="Q56" s="5"/>
      <c r="R56" s="9"/>
      <c r="S56" s="9"/>
      <c r="T56" s="9"/>
      <c r="U56" s="9"/>
      <c r="V56" s="9"/>
      <c r="W56" s="9"/>
      <c r="X56" s="9"/>
      <c r="Y56" s="9"/>
      <c r="Z56" s="9"/>
      <c r="AA56" s="10"/>
      <c r="AB56" s="10"/>
      <c r="AC56" s="11"/>
      <c r="AD56" s="85"/>
      <c r="AE56" s="5"/>
      <c r="AF56" s="9"/>
      <c r="AG56" s="9"/>
      <c r="AH56" s="9"/>
      <c r="AI56" s="9"/>
      <c r="AJ56" s="9"/>
      <c r="AK56" s="9"/>
      <c r="AL56" s="9"/>
      <c r="AM56" s="10"/>
      <c r="AN56" s="10"/>
      <c r="AO56" s="10"/>
      <c r="AP56" s="10"/>
      <c r="AQ56" s="11"/>
      <c r="AR56" s="85"/>
      <c r="AS56" s="5"/>
      <c r="AT56" s="9"/>
      <c r="AU56" s="9"/>
      <c r="AV56" s="9"/>
      <c r="AW56" s="9"/>
      <c r="AX56" s="9"/>
      <c r="AY56" s="9"/>
      <c r="AZ56" s="10"/>
      <c r="BA56" s="10"/>
      <c r="BB56" s="10"/>
      <c r="BC56" s="10"/>
      <c r="BD56" s="10"/>
      <c r="BE56" s="11"/>
      <c r="BF56" s="85"/>
      <c r="BG56" s="5"/>
      <c r="BH56" s="9"/>
      <c r="BI56" s="9"/>
      <c r="BJ56" s="9"/>
      <c r="BK56" s="9"/>
      <c r="BL56" s="9"/>
      <c r="BM56" s="9"/>
      <c r="BN56" s="9"/>
      <c r="BO56" s="10"/>
      <c r="BP56" s="10"/>
      <c r="BQ56" s="10"/>
      <c r="BR56" s="10"/>
      <c r="BS56" s="11"/>
      <c r="BT56" s="85"/>
      <c r="BU56" s="25"/>
      <c r="BV56" s="6"/>
      <c r="BW56" s="6"/>
      <c r="BX56" s="6"/>
      <c r="BY56" s="6"/>
      <c r="BZ56" s="6"/>
      <c r="CA56" s="6"/>
      <c r="CB56" s="9"/>
      <c r="CC56" s="9"/>
      <c r="CD56" s="9"/>
      <c r="CE56" s="9"/>
      <c r="CF56" s="9"/>
      <c r="CG56" s="11"/>
      <c r="CH56" s="61"/>
      <c r="CI56" s="182">
        <v>1800</v>
      </c>
      <c r="CJ56" s="52"/>
      <c r="CK56" s="196"/>
      <c r="CL56" s="197"/>
      <c r="CM56" s="197"/>
      <c r="CN56" s="197"/>
      <c r="CO56" s="198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</row>
    <row r="57" spans="1:143" s="119" customFormat="1" ht="11.45" customHeight="1" x14ac:dyDescent="0.2">
      <c r="A57" s="182"/>
      <c r="B57" s="44"/>
      <c r="C57" s="12"/>
      <c r="D57" s="13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85"/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  <c r="AC57" s="15"/>
      <c r="AD57" s="85"/>
      <c r="AE57" s="12"/>
      <c r="AF57" s="13"/>
      <c r="AG57" s="13"/>
      <c r="AH57" s="13"/>
      <c r="AI57" s="13"/>
      <c r="AJ57" s="13"/>
      <c r="AK57" s="13"/>
      <c r="AL57" s="13"/>
      <c r="AM57" s="14"/>
      <c r="AN57" s="14"/>
      <c r="AO57" s="14"/>
      <c r="AP57" s="14"/>
      <c r="AQ57" s="15"/>
      <c r="AR57" s="85"/>
      <c r="AS57" s="12"/>
      <c r="AT57" s="13"/>
      <c r="AU57" s="13"/>
      <c r="AV57" s="13"/>
      <c r="AW57" s="13"/>
      <c r="AX57" s="13"/>
      <c r="AY57" s="13"/>
      <c r="AZ57" s="14"/>
      <c r="BA57" s="14"/>
      <c r="BB57" s="14"/>
      <c r="BC57" s="14"/>
      <c r="BD57" s="14"/>
      <c r="BE57" s="15"/>
      <c r="BF57" s="85"/>
      <c r="BG57" s="12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5"/>
      <c r="BT57" s="85"/>
      <c r="BU57" s="12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5"/>
      <c r="CH57" s="61"/>
      <c r="CI57" s="182"/>
      <c r="CJ57" s="52"/>
      <c r="CK57" s="193" t="s">
        <v>55</v>
      </c>
      <c r="CL57" s="194"/>
      <c r="CM57" s="194"/>
      <c r="CN57" s="194"/>
      <c r="CO57" s="195"/>
      <c r="CP57" s="3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</row>
    <row r="58" spans="1:143" s="119" customFormat="1" ht="11.45" customHeight="1" x14ac:dyDescent="0.2">
      <c r="A58" s="182"/>
      <c r="B58" s="44"/>
      <c r="C58" s="5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1"/>
      <c r="P58" s="85"/>
      <c r="Q58" s="5"/>
      <c r="R58" s="9"/>
      <c r="S58" s="9"/>
      <c r="T58" s="9"/>
      <c r="U58" s="9"/>
      <c r="V58" s="9"/>
      <c r="W58" s="9"/>
      <c r="X58" s="9"/>
      <c r="Y58" s="9"/>
      <c r="Z58" s="9"/>
      <c r="AA58" s="10"/>
      <c r="AB58" s="10"/>
      <c r="AC58" s="11"/>
      <c r="AD58" s="85"/>
      <c r="AE58" s="5"/>
      <c r="AF58" s="9"/>
      <c r="AG58" s="9"/>
      <c r="AH58" s="9"/>
      <c r="AI58" s="9"/>
      <c r="AJ58" s="9"/>
      <c r="AK58" s="9"/>
      <c r="AL58" s="9"/>
      <c r="AM58" s="10"/>
      <c r="AN58" s="10"/>
      <c r="AO58" s="10"/>
      <c r="AP58" s="10"/>
      <c r="AQ58" s="11"/>
      <c r="AR58" s="85"/>
      <c r="AS58" s="5"/>
      <c r="AT58" s="9"/>
      <c r="AU58" s="9"/>
      <c r="AV58" s="9"/>
      <c r="AW58" s="9"/>
      <c r="AX58" s="9"/>
      <c r="AY58" s="9"/>
      <c r="AZ58" s="10"/>
      <c r="BA58" s="10"/>
      <c r="BB58" s="10"/>
      <c r="BC58" s="10"/>
      <c r="BD58" s="10"/>
      <c r="BE58" s="11"/>
      <c r="BF58" s="85"/>
      <c r="BG58" s="5"/>
      <c r="BH58" s="9"/>
      <c r="BI58" s="9"/>
      <c r="BJ58" s="9"/>
      <c r="BK58" s="9"/>
      <c r="BL58" s="9"/>
      <c r="BM58" s="9"/>
      <c r="BN58" s="9"/>
      <c r="BO58" s="10"/>
      <c r="BP58" s="10"/>
      <c r="BQ58" s="10"/>
      <c r="BR58" s="10"/>
      <c r="BS58" s="11"/>
      <c r="BT58" s="85"/>
      <c r="BU58" s="25"/>
      <c r="BV58" s="6"/>
      <c r="BW58" s="6"/>
      <c r="BX58" s="6"/>
      <c r="BY58" s="6"/>
      <c r="BZ58" s="6"/>
      <c r="CA58" s="6"/>
      <c r="CB58" s="9"/>
      <c r="CC58" s="9"/>
      <c r="CD58" s="9"/>
      <c r="CE58" s="9"/>
      <c r="CF58" s="9"/>
      <c r="CG58" s="11"/>
      <c r="CH58" s="61"/>
      <c r="CI58" s="182"/>
      <c r="CJ58" s="52"/>
      <c r="CK58" s="196"/>
      <c r="CL58" s="197"/>
      <c r="CM58" s="197"/>
      <c r="CN58" s="197"/>
      <c r="CO58" s="198"/>
      <c r="CP58" s="3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</row>
    <row r="59" spans="1:143" s="119" customFormat="1" ht="11.45" customHeight="1" x14ac:dyDescent="0.2">
      <c r="A59" s="182"/>
      <c r="B59" s="44"/>
      <c r="C59" s="12"/>
      <c r="D59" s="13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85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  <c r="AC59" s="15"/>
      <c r="AD59" s="85"/>
      <c r="AE59" s="12"/>
      <c r="AF59" s="13"/>
      <c r="AG59" s="13"/>
      <c r="AH59" s="13"/>
      <c r="AI59" s="13"/>
      <c r="AJ59" s="13"/>
      <c r="AK59" s="13"/>
      <c r="AL59" s="13"/>
      <c r="AM59" s="14"/>
      <c r="AN59" s="14"/>
      <c r="AO59" s="14"/>
      <c r="AP59" s="14"/>
      <c r="AQ59" s="15"/>
      <c r="AR59" s="85"/>
      <c r="AS59" s="12"/>
      <c r="AT59" s="13"/>
      <c r="AU59" s="13"/>
      <c r="AV59" s="13"/>
      <c r="AW59" s="13"/>
      <c r="AX59" s="13"/>
      <c r="AY59" s="13"/>
      <c r="AZ59" s="14"/>
      <c r="BA59" s="14"/>
      <c r="BB59" s="14"/>
      <c r="BC59" s="14"/>
      <c r="BD59" s="14"/>
      <c r="BE59" s="15"/>
      <c r="BF59" s="85"/>
      <c r="BG59" s="12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5"/>
      <c r="BT59" s="85"/>
      <c r="BU59" s="12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5"/>
      <c r="CH59" s="61"/>
      <c r="CI59" s="182"/>
      <c r="CJ59" s="52"/>
      <c r="CK59" s="193" t="s">
        <v>111</v>
      </c>
      <c r="CL59" s="194"/>
      <c r="CM59" s="194"/>
      <c r="CN59" s="194"/>
      <c r="CO59" s="195"/>
      <c r="CP59" s="3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</row>
    <row r="60" spans="1:143" s="119" customFormat="1" ht="11.45" customHeight="1" x14ac:dyDescent="0.2">
      <c r="A60" s="182">
        <v>1900</v>
      </c>
      <c r="B60" s="44"/>
      <c r="C60" s="5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1"/>
      <c r="P60" s="85"/>
      <c r="Q60" s="5"/>
      <c r="R60" s="9"/>
      <c r="S60" s="9"/>
      <c r="T60" s="9"/>
      <c r="U60" s="9"/>
      <c r="V60" s="9"/>
      <c r="W60" s="9"/>
      <c r="X60" s="9"/>
      <c r="Y60" s="9"/>
      <c r="Z60" s="9"/>
      <c r="AA60" s="10"/>
      <c r="AB60" s="10"/>
      <c r="AC60" s="11"/>
      <c r="AD60" s="85"/>
      <c r="AE60" s="5"/>
      <c r="AF60" s="9"/>
      <c r="AG60" s="9"/>
      <c r="AH60" s="9"/>
      <c r="AI60" s="9"/>
      <c r="AJ60" s="9"/>
      <c r="AK60" s="9"/>
      <c r="AL60" s="9"/>
      <c r="AM60" s="10"/>
      <c r="AN60" s="10"/>
      <c r="AO60" s="10"/>
      <c r="AP60" s="10"/>
      <c r="AQ60" s="11"/>
      <c r="AR60" s="85"/>
      <c r="AS60" s="5"/>
      <c r="AT60" s="9"/>
      <c r="AU60" s="9"/>
      <c r="AV60" s="9"/>
      <c r="AW60" s="9"/>
      <c r="AX60" s="9"/>
      <c r="AY60" s="9"/>
      <c r="AZ60" s="10"/>
      <c r="BA60" s="10"/>
      <c r="BB60" s="10"/>
      <c r="BC60" s="10"/>
      <c r="BD60" s="10"/>
      <c r="BE60" s="11"/>
      <c r="BF60" s="85"/>
      <c r="BG60" s="5"/>
      <c r="BH60" s="9"/>
      <c r="BI60" s="9"/>
      <c r="BJ60" s="9"/>
      <c r="BK60" s="9"/>
      <c r="BL60" s="9"/>
      <c r="BM60" s="9"/>
      <c r="BN60" s="9"/>
      <c r="BO60" s="10"/>
      <c r="BP60" s="10"/>
      <c r="BQ60" s="10"/>
      <c r="BR60" s="10"/>
      <c r="BS60" s="11"/>
      <c r="BT60" s="85"/>
      <c r="BU60" s="25"/>
      <c r="BV60" s="6"/>
      <c r="BW60" s="6"/>
      <c r="BX60" s="6"/>
      <c r="BY60" s="6"/>
      <c r="BZ60" s="6"/>
      <c r="CA60" s="6"/>
      <c r="CB60" s="9"/>
      <c r="CC60" s="9"/>
      <c r="CD60" s="9"/>
      <c r="CE60" s="9"/>
      <c r="CF60" s="9"/>
      <c r="CG60" s="11"/>
      <c r="CH60" s="61"/>
      <c r="CI60" s="182">
        <v>1900</v>
      </c>
      <c r="CJ60" s="52"/>
      <c r="CK60" s="196"/>
      <c r="CL60" s="197"/>
      <c r="CM60" s="197"/>
      <c r="CN60" s="197"/>
      <c r="CO60" s="198"/>
      <c r="CP60" s="3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</row>
    <row r="61" spans="1:143" s="119" customFormat="1" ht="11.45" customHeight="1" x14ac:dyDescent="0.2">
      <c r="A61" s="182"/>
      <c r="B61" s="44"/>
      <c r="C61" s="12"/>
      <c r="D61" s="13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85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  <c r="AC61" s="15"/>
      <c r="AD61" s="85"/>
      <c r="AE61" s="12"/>
      <c r="AF61" s="13"/>
      <c r="AG61" s="13"/>
      <c r="AH61" s="13"/>
      <c r="AI61" s="13"/>
      <c r="AJ61" s="13"/>
      <c r="AK61" s="13"/>
      <c r="AL61" s="13"/>
      <c r="AM61" s="14"/>
      <c r="AN61" s="14"/>
      <c r="AO61" s="14"/>
      <c r="AP61" s="14"/>
      <c r="AQ61" s="15"/>
      <c r="AR61" s="85"/>
      <c r="AS61" s="12"/>
      <c r="AT61" s="13"/>
      <c r="AU61" s="13"/>
      <c r="AV61" s="13"/>
      <c r="AW61" s="13"/>
      <c r="AX61" s="13"/>
      <c r="AY61" s="13"/>
      <c r="AZ61" s="14"/>
      <c r="BA61" s="14"/>
      <c r="BB61" s="14"/>
      <c r="BC61" s="14"/>
      <c r="BD61" s="14"/>
      <c r="BE61" s="15"/>
      <c r="BF61" s="85"/>
      <c r="BG61" s="12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5"/>
      <c r="BT61" s="85"/>
      <c r="BU61" s="12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5"/>
      <c r="CH61" s="61"/>
      <c r="CI61" s="182"/>
      <c r="CJ61" s="52"/>
      <c r="CK61" s="193" t="s">
        <v>97</v>
      </c>
      <c r="CL61" s="194"/>
      <c r="CM61" s="194"/>
      <c r="CN61" s="194"/>
      <c r="CO61" s="195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1:143" s="119" customFormat="1" ht="11.45" customHeight="1" x14ac:dyDescent="0.2">
      <c r="A62" s="182"/>
      <c r="B62" s="44"/>
      <c r="C62" s="5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1"/>
      <c r="P62" s="85"/>
      <c r="Q62" s="5"/>
      <c r="R62" s="9"/>
      <c r="S62" s="9"/>
      <c r="T62" s="9"/>
      <c r="U62" s="9"/>
      <c r="V62" s="9"/>
      <c r="W62" s="9"/>
      <c r="X62" s="9"/>
      <c r="Y62" s="9"/>
      <c r="Z62" s="9"/>
      <c r="AA62" s="10"/>
      <c r="AB62" s="10"/>
      <c r="AC62" s="11"/>
      <c r="AD62" s="85"/>
      <c r="AE62" s="5"/>
      <c r="AF62" s="9"/>
      <c r="AG62" s="9"/>
      <c r="AH62" s="9"/>
      <c r="AI62" s="9"/>
      <c r="AJ62" s="9"/>
      <c r="AK62" s="9"/>
      <c r="AL62" s="9"/>
      <c r="AM62" s="10"/>
      <c r="AN62" s="10"/>
      <c r="AO62" s="10"/>
      <c r="AP62" s="10"/>
      <c r="AQ62" s="11"/>
      <c r="AR62" s="85"/>
      <c r="AS62" s="5"/>
      <c r="AT62" s="9"/>
      <c r="AU62" s="9"/>
      <c r="AV62" s="9"/>
      <c r="AW62" s="9"/>
      <c r="AX62" s="9"/>
      <c r="AY62" s="9"/>
      <c r="AZ62" s="10"/>
      <c r="BA62" s="10"/>
      <c r="BB62" s="10"/>
      <c r="BC62" s="10"/>
      <c r="BD62" s="10"/>
      <c r="BE62" s="11"/>
      <c r="BF62" s="85"/>
      <c r="BG62" s="5"/>
      <c r="BH62" s="9"/>
      <c r="BI62" s="9"/>
      <c r="BJ62" s="9"/>
      <c r="BK62" s="9"/>
      <c r="BL62" s="9"/>
      <c r="BM62" s="9"/>
      <c r="BN62" s="9"/>
      <c r="BO62" s="10"/>
      <c r="BP62" s="10"/>
      <c r="BQ62" s="10"/>
      <c r="BR62" s="10"/>
      <c r="BS62" s="11"/>
      <c r="BT62" s="85"/>
      <c r="BU62" s="25"/>
      <c r="BV62" s="6"/>
      <c r="BW62" s="6"/>
      <c r="BX62" s="6"/>
      <c r="BY62" s="6"/>
      <c r="BZ62" s="6"/>
      <c r="CA62" s="6"/>
      <c r="CB62" s="9"/>
      <c r="CC62" s="9"/>
      <c r="CD62" s="9"/>
      <c r="CE62" s="9"/>
      <c r="CF62" s="9"/>
      <c r="CG62" s="11"/>
      <c r="CH62" s="61"/>
      <c r="CI62" s="182"/>
      <c r="CJ62" s="52"/>
      <c r="CK62" s="196"/>
      <c r="CL62" s="197"/>
      <c r="CM62" s="197"/>
      <c r="CN62" s="197"/>
      <c r="CO62" s="198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</row>
    <row r="63" spans="1:143" s="119" customFormat="1" ht="11.45" customHeight="1" x14ac:dyDescent="0.2">
      <c r="A63" s="182"/>
      <c r="B63" s="44"/>
      <c r="C63" s="12"/>
      <c r="D63" s="13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85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  <c r="AC63" s="15"/>
      <c r="AD63" s="85"/>
      <c r="AE63" s="12"/>
      <c r="AF63" s="13"/>
      <c r="AG63" s="13"/>
      <c r="AH63" s="13"/>
      <c r="AI63" s="13"/>
      <c r="AJ63" s="13"/>
      <c r="AK63" s="13"/>
      <c r="AL63" s="13"/>
      <c r="AM63" s="14"/>
      <c r="AN63" s="14"/>
      <c r="AO63" s="14"/>
      <c r="AP63" s="14"/>
      <c r="AQ63" s="15"/>
      <c r="AR63" s="85"/>
      <c r="AS63" s="12"/>
      <c r="AT63" s="13"/>
      <c r="AU63" s="13"/>
      <c r="AV63" s="13"/>
      <c r="AW63" s="13"/>
      <c r="AX63" s="13"/>
      <c r="AY63" s="13"/>
      <c r="AZ63" s="14"/>
      <c r="BA63" s="14"/>
      <c r="BB63" s="14"/>
      <c r="BC63" s="14"/>
      <c r="BD63" s="14"/>
      <c r="BE63" s="15"/>
      <c r="BF63" s="85"/>
      <c r="BG63" s="12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5"/>
      <c r="BT63" s="85"/>
      <c r="BU63" s="12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5"/>
      <c r="CH63" s="61"/>
      <c r="CI63" s="182"/>
      <c r="CJ63" s="52"/>
      <c r="CK63" s="193" t="s">
        <v>98</v>
      </c>
      <c r="CL63" s="194"/>
      <c r="CM63" s="194"/>
      <c r="CN63" s="194"/>
      <c r="CO63" s="195"/>
      <c r="CP63" s="3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</row>
    <row r="64" spans="1:143" s="119" customFormat="1" ht="11.45" customHeight="1" x14ac:dyDescent="0.2">
      <c r="A64" s="182">
        <v>2000</v>
      </c>
      <c r="B64" s="44"/>
      <c r="C64" s="5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85"/>
      <c r="Q64" s="5"/>
      <c r="R64" s="9"/>
      <c r="S64" s="9"/>
      <c r="T64" s="9"/>
      <c r="U64" s="9"/>
      <c r="V64" s="9"/>
      <c r="W64" s="9"/>
      <c r="X64" s="9"/>
      <c r="Y64" s="9"/>
      <c r="Z64" s="9"/>
      <c r="AA64" s="10"/>
      <c r="AB64" s="10"/>
      <c r="AC64" s="11"/>
      <c r="AD64" s="85"/>
      <c r="AE64" s="5"/>
      <c r="AF64" s="9"/>
      <c r="AG64" s="9"/>
      <c r="AH64" s="9"/>
      <c r="AI64" s="9"/>
      <c r="AJ64" s="9"/>
      <c r="AK64" s="9"/>
      <c r="AL64" s="9"/>
      <c r="AM64" s="10"/>
      <c r="AN64" s="10"/>
      <c r="AO64" s="10"/>
      <c r="AP64" s="10"/>
      <c r="AQ64" s="11"/>
      <c r="AR64" s="85"/>
      <c r="AS64" s="5"/>
      <c r="AT64" s="9"/>
      <c r="AU64" s="9"/>
      <c r="AV64" s="9"/>
      <c r="AW64" s="9"/>
      <c r="AX64" s="9"/>
      <c r="AY64" s="9"/>
      <c r="AZ64" s="10"/>
      <c r="BA64" s="10"/>
      <c r="BB64" s="10"/>
      <c r="BC64" s="10"/>
      <c r="BD64" s="10"/>
      <c r="BE64" s="11"/>
      <c r="BF64" s="85"/>
      <c r="BG64" s="5"/>
      <c r="BH64" s="9"/>
      <c r="BI64" s="9"/>
      <c r="BJ64" s="9"/>
      <c r="BK64" s="9"/>
      <c r="BL64" s="9"/>
      <c r="BM64" s="9"/>
      <c r="BN64" s="9"/>
      <c r="BO64" s="10"/>
      <c r="BP64" s="10"/>
      <c r="BQ64" s="10"/>
      <c r="BR64" s="10"/>
      <c r="BS64" s="11"/>
      <c r="BT64" s="85"/>
      <c r="BU64" s="25"/>
      <c r="BV64" s="6"/>
      <c r="BW64" s="6"/>
      <c r="BX64" s="6"/>
      <c r="BY64" s="6"/>
      <c r="BZ64" s="6"/>
      <c r="CA64" s="6"/>
      <c r="CB64" s="9"/>
      <c r="CC64" s="9"/>
      <c r="CD64" s="9"/>
      <c r="CE64" s="9"/>
      <c r="CF64" s="9"/>
      <c r="CG64" s="11"/>
      <c r="CH64" s="61"/>
      <c r="CI64" s="182">
        <v>2000</v>
      </c>
      <c r="CJ64" s="52"/>
      <c r="CK64" s="196"/>
      <c r="CL64" s="197"/>
      <c r="CM64" s="197"/>
      <c r="CN64" s="197"/>
      <c r="CO64" s="198"/>
      <c r="CP64" s="3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</row>
    <row r="65" spans="1:143" s="119" customFormat="1" ht="11.45" customHeight="1" x14ac:dyDescent="0.2">
      <c r="A65" s="182"/>
      <c r="B65" s="44"/>
      <c r="C65" s="12"/>
      <c r="D65" s="13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85"/>
      <c r="Q65" s="12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  <c r="AC65" s="15"/>
      <c r="AD65" s="85"/>
      <c r="AE65" s="12"/>
      <c r="AF65" s="13"/>
      <c r="AG65" s="13"/>
      <c r="AH65" s="13"/>
      <c r="AI65" s="13"/>
      <c r="AJ65" s="13"/>
      <c r="AK65" s="13"/>
      <c r="AL65" s="13"/>
      <c r="AM65" s="14"/>
      <c r="AN65" s="14"/>
      <c r="AO65" s="14"/>
      <c r="AP65" s="14"/>
      <c r="AQ65" s="15"/>
      <c r="AR65" s="85"/>
      <c r="AS65" s="12"/>
      <c r="AT65" s="13"/>
      <c r="AU65" s="13"/>
      <c r="AV65" s="13"/>
      <c r="AW65" s="13"/>
      <c r="AX65" s="13"/>
      <c r="AY65" s="13"/>
      <c r="AZ65" s="14"/>
      <c r="BA65" s="14"/>
      <c r="BB65" s="14"/>
      <c r="BC65" s="14"/>
      <c r="BD65" s="14"/>
      <c r="BE65" s="15"/>
      <c r="BF65" s="85"/>
      <c r="BG65" s="12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5"/>
      <c r="BT65" s="85"/>
      <c r="BU65" s="12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5"/>
      <c r="CH65" s="61"/>
      <c r="CI65" s="182"/>
      <c r="CJ65" s="52"/>
      <c r="CK65" s="193" t="s">
        <v>54</v>
      </c>
      <c r="CL65" s="194"/>
      <c r="CM65" s="194"/>
      <c r="CN65" s="194"/>
      <c r="CO65" s="195"/>
      <c r="CP65" s="3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</row>
    <row r="66" spans="1:143" s="119" customFormat="1" ht="11.45" customHeight="1" x14ac:dyDescent="0.2">
      <c r="A66" s="182"/>
      <c r="B66" s="44"/>
      <c r="C66" s="5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1"/>
      <c r="P66" s="85"/>
      <c r="Q66" s="5"/>
      <c r="R66" s="9"/>
      <c r="S66" s="9"/>
      <c r="T66" s="9"/>
      <c r="U66" s="9"/>
      <c r="V66" s="9"/>
      <c r="W66" s="9"/>
      <c r="X66" s="9"/>
      <c r="Y66" s="9"/>
      <c r="Z66" s="9"/>
      <c r="AA66" s="10"/>
      <c r="AB66" s="10"/>
      <c r="AC66" s="11"/>
      <c r="AD66" s="85"/>
      <c r="AE66" s="5"/>
      <c r="AF66" s="9"/>
      <c r="AG66" s="9"/>
      <c r="AH66" s="9"/>
      <c r="AI66" s="9"/>
      <c r="AJ66" s="9"/>
      <c r="AK66" s="9"/>
      <c r="AL66" s="9"/>
      <c r="AM66" s="10"/>
      <c r="AN66" s="10"/>
      <c r="AO66" s="10"/>
      <c r="AP66" s="10"/>
      <c r="AQ66" s="11"/>
      <c r="AR66" s="85"/>
      <c r="AS66" s="5"/>
      <c r="AT66" s="9"/>
      <c r="AU66" s="9"/>
      <c r="AV66" s="9"/>
      <c r="AW66" s="9"/>
      <c r="AX66" s="9"/>
      <c r="AY66" s="9"/>
      <c r="AZ66" s="10"/>
      <c r="BA66" s="10"/>
      <c r="BB66" s="10"/>
      <c r="BC66" s="10"/>
      <c r="BD66" s="10"/>
      <c r="BE66" s="11"/>
      <c r="BF66" s="85"/>
      <c r="BG66" s="5"/>
      <c r="BH66" s="9"/>
      <c r="BI66" s="9"/>
      <c r="BJ66" s="9"/>
      <c r="BK66" s="9"/>
      <c r="BL66" s="9"/>
      <c r="BM66" s="9"/>
      <c r="BN66" s="9"/>
      <c r="BO66" s="10"/>
      <c r="BP66" s="10"/>
      <c r="BQ66" s="10"/>
      <c r="BR66" s="10"/>
      <c r="BS66" s="11"/>
      <c r="BT66" s="85"/>
      <c r="BU66" s="25"/>
      <c r="BV66" s="6"/>
      <c r="BW66" s="6"/>
      <c r="BX66" s="6"/>
      <c r="BY66" s="6"/>
      <c r="BZ66" s="6"/>
      <c r="CA66" s="6"/>
      <c r="CB66" s="9"/>
      <c r="CC66" s="9"/>
      <c r="CD66" s="9"/>
      <c r="CE66" s="9"/>
      <c r="CF66" s="9"/>
      <c r="CG66" s="11"/>
      <c r="CH66" s="61"/>
      <c r="CI66" s="182"/>
      <c r="CJ66" s="52"/>
      <c r="CK66" s="196"/>
      <c r="CL66" s="197"/>
      <c r="CM66" s="197"/>
      <c r="CN66" s="197"/>
      <c r="CO66" s="198"/>
      <c r="CP66" s="3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</row>
    <row r="67" spans="1:143" s="119" customFormat="1" ht="11.45" customHeight="1" x14ac:dyDescent="0.2">
      <c r="A67" s="182"/>
      <c r="B67" s="44"/>
      <c r="C67" s="12"/>
      <c r="D67" s="13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85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  <c r="AC67" s="15"/>
      <c r="AD67" s="85"/>
      <c r="AE67" s="12"/>
      <c r="AF67" s="13"/>
      <c r="AG67" s="13"/>
      <c r="AH67" s="13"/>
      <c r="AI67" s="13"/>
      <c r="AJ67" s="13"/>
      <c r="AK67" s="13"/>
      <c r="AL67" s="13"/>
      <c r="AM67" s="14"/>
      <c r="AN67" s="14"/>
      <c r="AO67" s="14"/>
      <c r="AP67" s="14"/>
      <c r="AQ67" s="15"/>
      <c r="AR67" s="85"/>
      <c r="AS67" s="12"/>
      <c r="AT67" s="13"/>
      <c r="AU67" s="13"/>
      <c r="AV67" s="13"/>
      <c r="AW67" s="13"/>
      <c r="AX67" s="13"/>
      <c r="AY67" s="13"/>
      <c r="AZ67" s="14"/>
      <c r="BA67" s="14"/>
      <c r="BB67" s="14"/>
      <c r="BC67" s="14"/>
      <c r="BD67" s="14"/>
      <c r="BE67" s="15"/>
      <c r="BF67" s="85"/>
      <c r="BG67" s="12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5"/>
      <c r="BT67" s="85"/>
      <c r="BU67" s="12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5"/>
      <c r="CH67" s="61"/>
      <c r="CI67" s="182"/>
      <c r="CJ67" s="52"/>
      <c r="CK67" s="176" t="s">
        <v>105</v>
      </c>
      <c r="CL67" s="177"/>
      <c r="CM67" s="177"/>
      <c r="CN67" s="177"/>
      <c r="CO67" s="178"/>
      <c r="CP67" s="36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</row>
    <row r="68" spans="1:143" s="119" customFormat="1" ht="11.45" customHeight="1" x14ac:dyDescent="0.2">
      <c r="A68" s="182">
        <v>2100</v>
      </c>
      <c r="B68" s="44"/>
      <c r="C68" s="5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1"/>
      <c r="P68" s="85"/>
      <c r="Q68" s="5"/>
      <c r="R68" s="9"/>
      <c r="S68" s="9"/>
      <c r="T68" s="9"/>
      <c r="U68" s="9"/>
      <c r="V68" s="9"/>
      <c r="W68" s="9"/>
      <c r="X68" s="9"/>
      <c r="Y68" s="9"/>
      <c r="Z68" s="9"/>
      <c r="AA68" s="10"/>
      <c r="AB68" s="10"/>
      <c r="AC68" s="11"/>
      <c r="AD68" s="85"/>
      <c r="AE68" s="5"/>
      <c r="AF68" s="9"/>
      <c r="AG68" s="9"/>
      <c r="AH68" s="9"/>
      <c r="AI68" s="9"/>
      <c r="AJ68" s="9"/>
      <c r="AK68" s="9"/>
      <c r="AL68" s="9"/>
      <c r="AM68" s="10"/>
      <c r="AN68" s="10"/>
      <c r="AO68" s="10"/>
      <c r="AP68" s="10"/>
      <c r="AQ68" s="11"/>
      <c r="AR68" s="85"/>
      <c r="AS68" s="5"/>
      <c r="AT68" s="9"/>
      <c r="AU68" s="9"/>
      <c r="AV68" s="9"/>
      <c r="AW68" s="9"/>
      <c r="AX68" s="9"/>
      <c r="AY68" s="9"/>
      <c r="AZ68" s="10"/>
      <c r="BA68" s="10"/>
      <c r="BB68" s="10"/>
      <c r="BC68" s="10"/>
      <c r="BD68" s="10"/>
      <c r="BE68" s="11"/>
      <c r="BF68" s="85"/>
      <c r="BG68" s="5"/>
      <c r="BH68" s="9"/>
      <c r="BI68" s="9"/>
      <c r="BJ68" s="9"/>
      <c r="BK68" s="9"/>
      <c r="BL68" s="9"/>
      <c r="BM68" s="9"/>
      <c r="BN68" s="9"/>
      <c r="BO68" s="10"/>
      <c r="BP68" s="10"/>
      <c r="BQ68" s="10"/>
      <c r="BR68" s="10"/>
      <c r="BS68" s="11"/>
      <c r="BT68" s="85"/>
      <c r="BU68" s="25"/>
      <c r="BV68" s="6"/>
      <c r="BW68" s="6"/>
      <c r="BX68" s="6"/>
      <c r="BY68" s="6"/>
      <c r="BZ68" s="6"/>
      <c r="CA68" s="6"/>
      <c r="CB68" s="9"/>
      <c r="CC68" s="9"/>
      <c r="CD68" s="9"/>
      <c r="CE68" s="9"/>
      <c r="CF68" s="9"/>
      <c r="CG68" s="11"/>
      <c r="CH68" s="61"/>
      <c r="CI68" s="182">
        <v>2100</v>
      </c>
      <c r="CJ68" s="52"/>
      <c r="CK68" s="179"/>
      <c r="CL68" s="180"/>
      <c r="CM68" s="180"/>
      <c r="CN68" s="180"/>
      <c r="CO68" s="181"/>
      <c r="CP68" s="36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1:143" s="119" customFormat="1" ht="11.45" customHeight="1" x14ac:dyDescent="0.2">
      <c r="A69" s="182"/>
      <c r="B69" s="44"/>
      <c r="C69" s="12"/>
      <c r="D69" s="13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5"/>
      <c r="P69" s="85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  <c r="AC69" s="15"/>
      <c r="AD69" s="85"/>
      <c r="AE69" s="12"/>
      <c r="AF69" s="13"/>
      <c r="AG69" s="13"/>
      <c r="AH69" s="13"/>
      <c r="AI69" s="13"/>
      <c r="AJ69" s="13"/>
      <c r="AK69" s="13"/>
      <c r="AL69" s="13"/>
      <c r="AM69" s="14"/>
      <c r="AN69" s="14"/>
      <c r="AO69" s="14"/>
      <c r="AP69" s="14"/>
      <c r="AQ69" s="15"/>
      <c r="AR69" s="85"/>
      <c r="AS69" s="12"/>
      <c r="AT69" s="13"/>
      <c r="AU69" s="13"/>
      <c r="AV69" s="13"/>
      <c r="AW69" s="13"/>
      <c r="AX69" s="13"/>
      <c r="AY69" s="13"/>
      <c r="AZ69" s="14"/>
      <c r="BA69" s="14"/>
      <c r="BB69" s="14"/>
      <c r="BC69" s="14"/>
      <c r="BD69" s="14"/>
      <c r="BE69" s="15"/>
      <c r="BF69" s="85"/>
      <c r="BG69" s="12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5"/>
      <c r="BT69" s="85"/>
      <c r="BU69" s="12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5"/>
      <c r="CH69" s="61"/>
      <c r="CI69" s="182"/>
      <c r="CJ69" s="52"/>
      <c r="CK69" s="199" t="s">
        <v>57</v>
      </c>
      <c r="CL69" s="200"/>
      <c r="CM69" s="200"/>
      <c r="CN69" s="200"/>
      <c r="CO69" s="201"/>
      <c r="CP69" s="34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</row>
    <row r="70" spans="1:143" s="119" customFormat="1" ht="11.45" customHeight="1" x14ac:dyDescent="0.2">
      <c r="A70" s="182"/>
      <c r="B70" s="44"/>
      <c r="C70" s="5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1"/>
      <c r="P70" s="85"/>
      <c r="Q70" s="5"/>
      <c r="R70" s="9"/>
      <c r="S70" s="9"/>
      <c r="T70" s="9"/>
      <c r="U70" s="9"/>
      <c r="V70" s="9"/>
      <c r="W70" s="9"/>
      <c r="X70" s="9"/>
      <c r="Y70" s="9"/>
      <c r="Z70" s="9"/>
      <c r="AA70" s="10"/>
      <c r="AB70" s="10"/>
      <c r="AC70" s="11"/>
      <c r="AD70" s="85"/>
      <c r="AE70" s="5"/>
      <c r="AF70" s="9"/>
      <c r="AG70" s="9"/>
      <c r="AH70" s="9"/>
      <c r="AI70" s="9"/>
      <c r="AJ70" s="9"/>
      <c r="AK70" s="9"/>
      <c r="AL70" s="9"/>
      <c r="AM70" s="10"/>
      <c r="AN70" s="10"/>
      <c r="AO70" s="10"/>
      <c r="AP70" s="10"/>
      <c r="AQ70" s="11"/>
      <c r="AR70" s="85"/>
      <c r="AS70" s="5"/>
      <c r="AT70" s="9"/>
      <c r="AU70" s="9"/>
      <c r="AV70" s="9"/>
      <c r="AW70" s="9"/>
      <c r="AX70" s="9"/>
      <c r="AY70" s="9"/>
      <c r="AZ70" s="10"/>
      <c r="BA70" s="10"/>
      <c r="BB70" s="10"/>
      <c r="BC70" s="10"/>
      <c r="BD70" s="10"/>
      <c r="BE70" s="11"/>
      <c r="BF70" s="85"/>
      <c r="BG70" s="5"/>
      <c r="BH70" s="9"/>
      <c r="BI70" s="9"/>
      <c r="BJ70" s="9"/>
      <c r="BK70" s="9"/>
      <c r="BL70" s="9"/>
      <c r="BM70" s="9"/>
      <c r="BN70" s="9"/>
      <c r="BO70" s="10"/>
      <c r="BP70" s="10"/>
      <c r="BQ70" s="10"/>
      <c r="BR70" s="10"/>
      <c r="BS70" s="11"/>
      <c r="BT70" s="85"/>
      <c r="BU70" s="25"/>
      <c r="BV70" s="6"/>
      <c r="BW70" s="6"/>
      <c r="BX70" s="6"/>
      <c r="BY70" s="6"/>
      <c r="BZ70" s="6"/>
      <c r="CA70" s="6"/>
      <c r="CB70" s="9"/>
      <c r="CC70" s="9"/>
      <c r="CD70" s="9"/>
      <c r="CE70" s="9"/>
      <c r="CF70" s="9"/>
      <c r="CG70" s="11"/>
      <c r="CH70" s="61"/>
      <c r="CI70" s="182"/>
      <c r="CJ70" s="52"/>
      <c r="CK70" s="202"/>
      <c r="CL70" s="203"/>
      <c r="CM70" s="203"/>
      <c r="CN70" s="203"/>
      <c r="CO70" s="204"/>
      <c r="CP70" s="34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</row>
    <row r="71" spans="1:143" s="119" customFormat="1" ht="11.45" customHeight="1" x14ac:dyDescent="0.2">
      <c r="A71" s="182"/>
      <c r="B71" s="44"/>
      <c r="C71" s="12"/>
      <c r="D71" s="13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85"/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  <c r="AC71" s="15"/>
      <c r="AD71" s="85"/>
      <c r="AE71" s="12"/>
      <c r="AF71" s="13"/>
      <c r="AG71" s="13"/>
      <c r="AH71" s="13"/>
      <c r="AI71" s="13"/>
      <c r="AJ71" s="13"/>
      <c r="AK71" s="13"/>
      <c r="AL71" s="13"/>
      <c r="AM71" s="14"/>
      <c r="AN71" s="14"/>
      <c r="AO71" s="14"/>
      <c r="AP71" s="14"/>
      <c r="AQ71" s="15"/>
      <c r="AR71" s="85"/>
      <c r="AS71" s="12"/>
      <c r="AT71" s="13"/>
      <c r="AU71" s="13"/>
      <c r="AV71" s="13"/>
      <c r="AW71" s="13"/>
      <c r="AX71" s="13"/>
      <c r="AY71" s="13"/>
      <c r="AZ71" s="14"/>
      <c r="BA71" s="14"/>
      <c r="BB71" s="14"/>
      <c r="BC71" s="14"/>
      <c r="BD71" s="14"/>
      <c r="BE71" s="15"/>
      <c r="BF71" s="85"/>
      <c r="BG71" s="12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5"/>
      <c r="BT71" s="85"/>
      <c r="BU71" s="12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5"/>
      <c r="CH71" s="61"/>
      <c r="CI71" s="182"/>
      <c r="CJ71" s="52"/>
      <c r="CK71" s="176" t="s">
        <v>79</v>
      </c>
      <c r="CL71" s="177"/>
      <c r="CM71" s="177"/>
      <c r="CN71" s="177"/>
      <c r="CO71" s="178"/>
      <c r="CP71" s="34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</row>
    <row r="72" spans="1:143" s="119" customFormat="1" ht="11.45" customHeight="1" x14ac:dyDescent="0.2">
      <c r="A72" s="182">
        <v>2200</v>
      </c>
      <c r="B72" s="44"/>
      <c r="C72" s="5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1"/>
      <c r="P72" s="85"/>
      <c r="Q72" s="5"/>
      <c r="R72" s="9"/>
      <c r="S72" s="9"/>
      <c r="T72" s="9"/>
      <c r="U72" s="9"/>
      <c r="V72" s="9"/>
      <c r="W72" s="9"/>
      <c r="X72" s="9"/>
      <c r="Y72" s="9"/>
      <c r="Z72" s="9"/>
      <c r="AA72" s="10"/>
      <c r="AB72" s="10"/>
      <c r="AC72" s="11"/>
      <c r="AD72" s="85"/>
      <c r="AE72" s="5"/>
      <c r="AF72" s="9"/>
      <c r="AG72" s="9"/>
      <c r="AH72" s="9"/>
      <c r="AI72" s="9"/>
      <c r="AJ72" s="9"/>
      <c r="AK72" s="9"/>
      <c r="AL72" s="9"/>
      <c r="AM72" s="10"/>
      <c r="AN72" s="10"/>
      <c r="AO72" s="10"/>
      <c r="AP72" s="10"/>
      <c r="AQ72" s="11"/>
      <c r="AR72" s="85"/>
      <c r="AS72" s="5"/>
      <c r="AT72" s="9"/>
      <c r="AU72" s="9"/>
      <c r="AV72" s="9"/>
      <c r="AW72" s="9"/>
      <c r="AX72" s="9"/>
      <c r="AY72" s="9"/>
      <c r="AZ72" s="10"/>
      <c r="BA72" s="10"/>
      <c r="BB72" s="10"/>
      <c r="BC72" s="10"/>
      <c r="BD72" s="10"/>
      <c r="BE72" s="11"/>
      <c r="BF72" s="85"/>
      <c r="BG72" s="5"/>
      <c r="BH72" s="9"/>
      <c r="BI72" s="9"/>
      <c r="BJ72" s="9"/>
      <c r="BK72" s="9"/>
      <c r="BL72" s="9"/>
      <c r="BM72" s="9"/>
      <c r="BN72" s="9"/>
      <c r="BO72" s="10"/>
      <c r="BP72" s="10"/>
      <c r="BQ72" s="10"/>
      <c r="BR72" s="10"/>
      <c r="BS72" s="11"/>
      <c r="BT72" s="85"/>
      <c r="BU72" s="25"/>
      <c r="BV72" s="6"/>
      <c r="BW72" s="6"/>
      <c r="BX72" s="6"/>
      <c r="BY72" s="6"/>
      <c r="BZ72" s="6"/>
      <c r="CA72" s="6"/>
      <c r="CB72" s="9"/>
      <c r="CC72" s="9"/>
      <c r="CD72" s="9"/>
      <c r="CE72" s="9"/>
      <c r="CF72" s="9"/>
      <c r="CG72" s="11"/>
      <c r="CH72" s="61"/>
      <c r="CI72" s="182">
        <v>2200</v>
      </c>
      <c r="CJ72" s="52"/>
      <c r="CK72" s="179"/>
      <c r="CL72" s="180"/>
      <c r="CM72" s="180"/>
      <c r="CN72" s="180"/>
      <c r="CO72" s="181"/>
      <c r="CP72" s="34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1:143" s="119" customFormat="1" ht="11.45" customHeight="1" x14ac:dyDescent="0.2">
      <c r="A73" s="182"/>
      <c r="B73" s="44"/>
      <c r="C73" s="12"/>
      <c r="D73" s="13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85"/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  <c r="AC73" s="15"/>
      <c r="AD73" s="85"/>
      <c r="AE73" s="12"/>
      <c r="AF73" s="13"/>
      <c r="AG73" s="13"/>
      <c r="AH73" s="13"/>
      <c r="AI73" s="13"/>
      <c r="AJ73" s="13"/>
      <c r="AK73" s="13"/>
      <c r="AL73" s="13"/>
      <c r="AM73" s="14"/>
      <c r="AN73" s="14"/>
      <c r="AO73" s="14"/>
      <c r="AP73" s="14"/>
      <c r="AQ73" s="15"/>
      <c r="AR73" s="85"/>
      <c r="AS73" s="12"/>
      <c r="AT73" s="13"/>
      <c r="AU73" s="13"/>
      <c r="AV73" s="13"/>
      <c r="AW73" s="13"/>
      <c r="AX73" s="13"/>
      <c r="AY73" s="13"/>
      <c r="AZ73" s="14"/>
      <c r="BA73" s="14"/>
      <c r="BB73" s="14"/>
      <c r="BC73" s="14"/>
      <c r="BD73" s="14"/>
      <c r="BE73" s="15"/>
      <c r="BF73" s="85"/>
      <c r="BG73" s="12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5"/>
      <c r="BT73" s="85"/>
      <c r="BU73" s="12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5"/>
      <c r="CH73" s="61"/>
      <c r="CI73" s="182"/>
      <c r="CJ73" s="52"/>
      <c r="CK73" s="176" t="s">
        <v>113</v>
      </c>
      <c r="CL73" s="177"/>
      <c r="CM73" s="177"/>
      <c r="CN73" s="177"/>
      <c r="CO73" s="178"/>
      <c r="CP73" s="35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</row>
    <row r="74" spans="1:143" s="119" customFormat="1" ht="11.45" customHeight="1" x14ac:dyDescent="0.2">
      <c r="A74" s="182"/>
      <c r="B74" s="44"/>
      <c r="C74" s="5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1"/>
      <c r="P74" s="85"/>
      <c r="Q74" s="5"/>
      <c r="R74" s="9"/>
      <c r="S74" s="9"/>
      <c r="T74" s="9"/>
      <c r="U74" s="9"/>
      <c r="V74" s="9"/>
      <c r="W74" s="9"/>
      <c r="X74" s="9"/>
      <c r="Y74" s="9"/>
      <c r="Z74" s="9"/>
      <c r="AA74" s="10"/>
      <c r="AB74" s="10"/>
      <c r="AC74" s="11"/>
      <c r="AD74" s="85"/>
      <c r="AE74" s="5"/>
      <c r="AF74" s="9"/>
      <c r="AG74" s="9"/>
      <c r="AH74" s="9"/>
      <c r="AI74" s="9"/>
      <c r="AJ74" s="9"/>
      <c r="AK74" s="9"/>
      <c r="AL74" s="9"/>
      <c r="AM74" s="10"/>
      <c r="AN74" s="10"/>
      <c r="AO74" s="10"/>
      <c r="AP74" s="10"/>
      <c r="AQ74" s="11"/>
      <c r="AR74" s="85"/>
      <c r="AS74" s="5"/>
      <c r="AT74" s="9"/>
      <c r="AU74" s="9"/>
      <c r="AV74" s="9"/>
      <c r="AW74" s="9"/>
      <c r="AX74" s="9"/>
      <c r="AY74" s="9"/>
      <c r="AZ74" s="10"/>
      <c r="BA74" s="10"/>
      <c r="BB74" s="10"/>
      <c r="BC74" s="10"/>
      <c r="BD74" s="10"/>
      <c r="BE74" s="11"/>
      <c r="BF74" s="85"/>
      <c r="BG74" s="5"/>
      <c r="BH74" s="9"/>
      <c r="BI74" s="9"/>
      <c r="BJ74" s="9"/>
      <c r="BK74" s="9"/>
      <c r="BL74" s="9"/>
      <c r="BM74" s="9"/>
      <c r="BN74" s="9"/>
      <c r="BO74" s="10"/>
      <c r="BP74" s="10"/>
      <c r="BQ74" s="10"/>
      <c r="BR74" s="10"/>
      <c r="BS74" s="11"/>
      <c r="BT74" s="85"/>
      <c r="BU74" s="25"/>
      <c r="BV74" s="6"/>
      <c r="BW74" s="6"/>
      <c r="BX74" s="6"/>
      <c r="BY74" s="6"/>
      <c r="BZ74" s="6"/>
      <c r="CA74" s="6"/>
      <c r="CB74" s="9"/>
      <c r="CC74" s="9"/>
      <c r="CD74" s="9"/>
      <c r="CE74" s="9"/>
      <c r="CF74" s="9"/>
      <c r="CG74" s="11"/>
      <c r="CH74" s="61"/>
      <c r="CI74" s="182"/>
      <c r="CJ74" s="52"/>
      <c r="CK74" s="179"/>
      <c r="CL74" s="180"/>
      <c r="CM74" s="180"/>
      <c r="CN74" s="180"/>
      <c r="CO74" s="181"/>
      <c r="CP74" s="35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</row>
    <row r="75" spans="1:143" s="119" customFormat="1" ht="11.45" customHeight="1" x14ac:dyDescent="0.2">
      <c r="A75" s="182"/>
      <c r="B75" s="44"/>
      <c r="C75" s="12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85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  <c r="AC75" s="15"/>
      <c r="AD75" s="85"/>
      <c r="AE75" s="12"/>
      <c r="AF75" s="13"/>
      <c r="AG75" s="13"/>
      <c r="AH75" s="13"/>
      <c r="AI75" s="13"/>
      <c r="AJ75" s="13"/>
      <c r="AK75" s="13"/>
      <c r="AL75" s="13"/>
      <c r="AM75" s="14"/>
      <c r="AN75" s="14"/>
      <c r="AO75" s="14"/>
      <c r="AP75" s="14"/>
      <c r="AQ75" s="15"/>
      <c r="AR75" s="85"/>
      <c r="AS75" s="12"/>
      <c r="AT75" s="13"/>
      <c r="AU75" s="13"/>
      <c r="AV75" s="13"/>
      <c r="AW75" s="13"/>
      <c r="AX75" s="13"/>
      <c r="AY75" s="13"/>
      <c r="AZ75" s="14"/>
      <c r="BA75" s="14"/>
      <c r="BB75" s="14"/>
      <c r="BC75" s="14"/>
      <c r="BD75" s="14"/>
      <c r="BE75" s="15"/>
      <c r="BF75" s="85"/>
      <c r="BG75" s="12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5"/>
      <c r="BT75" s="85"/>
      <c r="BU75" s="12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5"/>
      <c r="CH75" s="61"/>
      <c r="CI75" s="182"/>
      <c r="CJ75" s="52"/>
      <c r="CK75" s="176" t="s">
        <v>114</v>
      </c>
      <c r="CL75" s="177"/>
      <c r="CM75" s="177"/>
      <c r="CN75" s="177"/>
      <c r="CO75" s="178"/>
      <c r="CP75" s="34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</row>
    <row r="76" spans="1:143" s="119" customFormat="1" ht="11.45" customHeight="1" x14ac:dyDescent="0.2">
      <c r="A76" s="182">
        <v>2300</v>
      </c>
      <c r="B76" s="44"/>
      <c r="C76" s="5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1"/>
      <c r="P76" s="85"/>
      <c r="Q76" s="5"/>
      <c r="R76" s="9"/>
      <c r="S76" s="9"/>
      <c r="T76" s="9"/>
      <c r="U76" s="9"/>
      <c r="V76" s="9"/>
      <c r="W76" s="9"/>
      <c r="X76" s="10"/>
      <c r="Y76" s="10"/>
      <c r="Z76" s="10"/>
      <c r="AA76" s="10"/>
      <c r="AB76" s="10"/>
      <c r="AC76" s="11"/>
      <c r="AD76" s="85"/>
      <c r="AE76" s="5"/>
      <c r="AF76" s="9"/>
      <c r="AG76" s="9"/>
      <c r="AH76" s="9"/>
      <c r="AI76" s="9"/>
      <c r="AJ76" s="9"/>
      <c r="AK76" s="9"/>
      <c r="AL76" s="9"/>
      <c r="AM76" s="10"/>
      <c r="AN76" s="10"/>
      <c r="AO76" s="10"/>
      <c r="AP76" s="10"/>
      <c r="AQ76" s="11"/>
      <c r="AR76" s="85"/>
      <c r="AS76" s="5"/>
      <c r="AT76" s="9"/>
      <c r="AU76" s="9"/>
      <c r="AV76" s="9"/>
      <c r="AW76" s="9"/>
      <c r="AX76" s="9"/>
      <c r="AY76" s="9"/>
      <c r="AZ76" s="10"/>
      <c r="BA76" s="10"/>
      <c r="BB76" s="10"/>
      <c r="BC76" s="10"/>
      <c r="BD76" s="10"/>
      <c r="BE76" s="11"/>
      <c r="BF76" s="85"/>
      <c r="BG76" s="5"/>
      <c r="BH76" s="9"/>
      <c r="BI76" s="9"/>
      <c r="BJ76" s="9"/>
      <c r="BK76" s="9"/>
      <c r="BL76" s="9"/>
      <c r="BM76" s="9"/>
      <c r="BN76" s="9"/>
      <c r="BO76" s="10"/>
      <c r="BP76" s="10"/>
      <c r="BQ76" s="10"/>
      <c r="BR76" s="10"/>
      <c r="BS76" s="11"/>
      <c r="BT76" s="85"/>
      <c r="BU76" s="25"/>
      <c r="BV76" s="6"/>
      <c r="BW76" s="6"/>
      <c r="BX76" s="6"/>
      <c r="BY76" s="6"/>
      <c r="BZ76" s="6"/>
      <c r="CA76" s="6"/>
      <c r="CB76" s="9"/>
      <c r="CC76" s="9"/>
      <c r="CD76" s="9"/>
      <c r="CE76" s="9"/>
      <c r="CF76" s="9"/>
      <c r="CG76" s="11"/>
      <c r="CH76" s="61"/>
      <c r="CI76" s="182">
        <v>2300</v>
      </c>
      <c r="CJ76" s="52"/>
      <c r="CK76" s="179"/>
      <c r="CL76" s="180"/>
      <c r="CM76" s="180"/>
      <c r="CN76" s="180"/>
      <c r="CO76" s="181"/>
      <c r="CP76" s="34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</row>
    <row r="77" spans="1:143" s="119" customFormat="1" ht="11.45" customHeight="1" x14ac:dyDescent="0.2">
      <c r="A77" s="182"/>
      <c r="B77" s="44"/>
      <c r="C77" s="12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85"/>
      <c r="Q77" s="12"/>
      <c r="R77" s="13"/>
      <c r="S77" s="13"/>
      <c r="T77" s="13"/>
      <c r="U77" s="13"/>
      <c r="V77" s="13"/>
      <c r="W77" s="13"/>
      <c r="X77" s="14"/>
      <c r="Y77" s="14"/>
      <c r="Z77" s="14"/>
      <c r="AA77" s="14"/>
      <c r="AB77" s="14"/>
      <c r="AC77" s="15"/>
      <c r="AD77" s="85"/>
      <c r="AE77" s="12"/>
      <c r="AF77" s="13"/>
      <c r="AG77" s="13"/>
      <c r="AH77" s="13"/>
      <c r="AI77" s="13"/>
      <c r="AJ77" s="13"/>
      <c r="AK77" s="13"/>
      <c r="AL77" s="13"/>
      <c r="AM77" s="14"/>
      <c r="AN77" s="14"/>
      <c r="AO77" s="14"/>
      <c r="AP77" s="14"/>
      <c r="AQ77" s="15"/>
      <c r="AR77" s="85"/>
      <c r="AS77" s="12"/>
      <c r="AT77" s="13"/>
      <c r="AU77" s="13"/>
      <c r="AV77" s="13"/>
      <c r="AW77" s="13"/>
      <c r="AX77" s="13"/>
      <c r="AY77" s="13"/>
      <c r="AZ77" s="14"/>
      <c r="BA77" s="14"/>
      <c r="BB77" s="14"/>
      <c r="BC77" s="14"/>
      <c r="BD77" s="14"/>
      <c r="BE77" s="15"/>
      <c r="BF77" s="85"/>
      <c r="BG77" s="12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5"/>
      <c r="BT77" s="85"/>
      <c r="BU77" s="12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5"/>
      <c r="CH77" s="61"/>
      <c r="CI77" s="182"/>
      <c r="CJ77" s="52"/>
      <c r="CK77" s="176" t="s">
        <v>129</v>
      </c>
      <c r="CL77" s="177"/>
      <c r="CM77" s="177"/>
      <c r="CN77" s="177"/>
      <c r="CO77" s="178"/>
      <c r="CP77" s="34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</row>
    <row r="78" spans="1:143" s="119" customFormat="1" ht="11.45" customHeight="1" x14ac:dyDescent="0.2">
      <c r="A78" s="182"/>
      <c r="B78" s="44"/>
      <c r="C78" s="5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1"/>
      <c r="P78" s="85"/>
      <c r="Q78" s="5"/>
      <c r="R78" s="9"/>
      <c r="S78" s="9"/>
      <c r="T78" s="9"/>
      <c r="U78" s="9"/>
      <c r="V78" s="9"/>
      <c r="W78" s="9"/>
      <c r="X78" s="10"/>
      <c r="Y78" s="10"/>
      <c r="Z78" s="10"/>
      <c r="AA78" s="10"/>
      <c r="AB78" s="10"/>
      <c r="AC78" s="11"/>
      <c r="AD78" s="85"/>
      <c r="AE78" s="5"/>
      <c r="AF78" s="9"/>
      <c r="AG78" s="9"/>
      <c r="AH78" s="9"/>
      <c r="AI78" s="9"/>
      <c r="AJ78" s="9"/>
      <c r="AK78" s="9"/>
      <c r="AL78" s="9"/>
      <c r="AM78" s="10"/>
      <c r="AN78" s="10"/>
      <c r="AO78" s="10"/>
      <c r="AP78" s="10"/>
      <c r="AQ78" s="11"/>
      <c r="AR78" s="85"/>
      <c r="AS78" s="5"/>
      <c r="AT78" s="9"/>
      <c r="AU78" s="9"/>
      <c r="AV78" s="9"/>
      <c r="AW78" s="9"/>
      <c r="AX78" s="9"/>
      <c r="AY78" s="9"/>
      <c r="AZ78" s="10"/>
      <c r="BA78" s="10"/>
      <c r="BB78" s="10"/>
      <c r="BC78" s="10"/>
      <c r="BD78" s="10"/>
      <c r="BE78" s="11"/>
      <c r="BF78" s="85"/>
      <c r="BG78" s="5"/>
      <c r="BH78" s="9"/>
      <c r="BI78" s="9"/>
      <c r="BJ78" s="9"/>
      <c r="BK78" s="9"/>
      <c r="BL78" s="9"/>
      <c r="BM78" s="9"/>
      <c r="BN78" s="9"/>
      <c r="BO78" s="10"/>
      <c r="BP78" s="10"/>
      <c r="BQ78" s="10"/>
      <c r="BR78" s="10"/>
      <c r="BS78" s="11"/>
      <c r="BT78" s="85"/>
      <c r="BU78" s="25"/>
      <c r="BV78" s="6"/>
      <c r="BW78" s="6"/>
      <c r="BX78" s="6"/>
      <c r="BY78" s="6"/>
      <c r="BZ78" s="6"/>
      <c r="CA78" s="6"/>
      <c r="CB78" s="9"/>
      <c r="CC78" s="9"/>
      <c r="CD78" s="9"/>
      <c r="CE78" s="9"/>
      <c r="CF78" s="9"/>
      <c r="CG78" s="11"/>
      <c r="CH78" s="61"/>
      <c r="CI78" s="182"/>
      <c r="CJ78" s="52"/>
      <c r="CK78" s="179"/>
      <c r="CL78" s="180"/>
      <c r="CM78" s="180"/>
      <c r="CN78" s="180"/>
      <c r="CO78" s="181"/>
      <c r="CP78" s="34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</row>
    <row r="79" spans="1:143" s="119" customFormat="1" ht="11.45" customHeight="1" x14ac:dyDescent="0.2">
      <c r="A79" s="182"/>
      <c r="B79" s="44"/>
      <c r="C79" s="12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5"/>
      <c r="P79" s="85"/>
      <c r="Q79" s="12"/>
      <c r="R79" s="13"/>
      <c r="S79" s="13"/>
      <c r="T79" s="13"/>
      <c r="U79" s="13"/>
      <c r="V79" s="13"/>
      <c r="W79" s="13"/>
      <c r="X79" s="14"/>
      <c r="Y79" s="14"/>
      <c r="Z79" s="14"/>
      <c r="AA79" s="14"/>
      <c r="AB79" s="14"/>
      <c r="AC79" s="15"/>
      <c r="AD79" s="85"/>
      <c r="AE79" s="12"/>
      <c r="AF79" s="13"/>
      <c r="AG79" s="13"/>
      <c r="AH79" s="13"/>
      <c r="AI79" s="13"/>
      <c r="AJ79" s="13"/>
      <c r="AK79" s="13"/>
      <c r="AL79" s="13"/>
      <c r="AM79" s="14"/>
      <c r="AN79" s="14"/>
      <c r="AO79" s="14"/>
      <c r="AP79" s="14"/>
      <c r="AQ79" s="15"/>
      <c r="AR79" s="85"/>
      <c r="AS79" s="12"/>
      <c r="AT79" s="13"/>
      <c r="AU79" s="13"/>
      <c r="AV79" s="13"/>
      <c r="AW79" s="13"/>
      <c r="AX79" s="13"/>
      <c r="AY79" s="13"/>
      <c r="AZ79" s="14"/>
      <c r="BA79" s="14"/>
      <c r="BB79" s="14"/>
      <c r="BC79" s="14"/>
      <c r="BD79" s="14"/>
      <c r="BE79" s="15"/>
      <c r="BF79" s="85"/>
      <c r="BG79" s="12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5"/>
      <c r="BT79" s="85"/>
      <c r="BU79" s="12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5"/>
      <c r="CH79" s="61"/>
      <c r="CI79" s="182"/>
      <c r="CJ79" s="52"/>
      <c r="CK79" s="131" t="s">
        <v>149</v>
      </c>
      <c r="CL79" s="132"/>
      <c r="CM79" s="132"/>
      <c r="CN79" s="132"/>
      <c r="CO79" s="13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</row>
    <row r="80" spans="1:143" s="119" customFormat="1" ht="11.45" customHeight="1" x14ac:dyDescent="0.2">
      <c r="A80" s="182">
        <v>2400</v>
      </c>
      <c r="B80" s="44"/>
      <c r="C80" s="5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1"/>
      <c r="P80" s="85"/>
      <c r="Q80" s="5"/>
      <c r="R80" s="9"/>
      <c r="S80" s="9"/>
      <c r="T80" s="9"/>
      <c r="U80" s="9"/>
      <c r="V80" s="9"/>
      <c r="W80" s="9"/>
      <c r="X80" s="10"/>
      <c r="Y80" s="10"/>
      <c r="Z80" s="10"/>
      <c r="AA80" s="10"/>
      <c r="AB80" s="10"/>
      <c r="AC80" s="11"/>
      <c r="AD80" s="85"/>
      <c r="AE80" s="5"/>
      <c r="AF80" s="9"/>
      <c r="AG80" s="9"/>
      <c r="AH80" s="9"/>
      <c r="AI80" s="9"/>
      <c r="AJ80" s="9"/>
      <c r="AK80" s="9"/>
      <c r="AL80" s="9"/>
      <c r="AM80" s="10"/>
      <c r="AN80" s="10"/>
      <c r="AO80" s="10"/>
      <c r="AP80" s="10"/>
      <c r="AQ80" s="11"/>
      <c r="AR80" s="85"/>
      <c r="AS80" s="5"/>
      <c r="AT80" s="9"/>
      <c r="AU80" s="9"/>
      <c r="AV80" s="9"/>
      <c r="AW80" s="9"/>
      <c r="AX80" s="9"/>
      <c r="AY80" s="9"/>
      <c r="AZ80" s="10"/>
      <c r="BA80" s="10"/>
      <c r="BB80" s="10"/>
      <c r="BC80" s="10"/>
      <c r="BD80" s="10"/>
      <c r="BE80" s="11"/>
      <c r="BF80" s="85"/>
      <c r="BG80" s="5"/>
      <c r="BH80" s="9"/>
      <c r="BI80" s="9"/>
      <c r="BJ80" s="9"/>
      <c r="BK80" s="9"/>
      <c r="BL80" s="9"/>
      <c r="BM80" s="9"/>
      <c r="BN80" s="9"/>
      <c r="BO80" s="10"/>
      <c r="BP80" s="10"/>
      <c r="BQ80" s="10"/>
      <c r="BR80" s="10"/>
      <c r="BS80" s="11"/>
      <c r="BT80" s="85"/>
      <c r="BU80" s="25"/>
      <c r="BV80" s="6"/>
      <c r="BW80" s="6"/>
      <c r="BX80" s="6"/>
      <c r="BY80" s="6"/>
      <c r="BZ80" s="6"/>
      <c r="CA80" s="6"/>
      <c r="CB80" s="9"/>
      <c r="CC80" s="9"/>
      <c r="CD80" s="9"/>
      <c r="CE80" s="9"/>
      <c r="CF80" s="9"/>
      <c r="CG80" s="11"/>
      <c r="CH80" s="61"/>
      <c r="CI80" s="182">
        <v>2400</v>
      </c>
      <c r="CJ80" s="52"/>
      <c r="CK80" s="134"/>
      <c r="CL80" s="135"/>
      <c r="CM80" s="135"/>
      <c r="CN80" s="135"/>
      <c r="CO80" s="136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</row>
    <row r="81" spans="1:143" s="119" customFormat="1" ht="11.45" customHeight="1" x14ac:dyDescent="0.2">
      <c r="A81" s="182"/>
      <c r="B81" s="44"/>
      <c r="C81" s="12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5"/>
      <c r="P81" s="85"/>
      <c r="Q81" s="12"/>
      <c r="R81" s="13"/>
      <c r="S81" s="13"/>
      <c r="T81" s="13"/>
      <c r="U81" s="13"/>
      <c r="V81" s="13"/>
      <c r="W81" s="13"/>
      <c r="X81" s="14"/>
      <c r="Y81" s="14"/>
      <c r="Z81" s="14"/>
      <c r="AA81" s="14"/>
      <c r="AB81" s="14"/>
      <c r="AC81" s="15"/>
      <c r="AD81" s="85"/>
      <c r="AE81" s="12"/>
      <c r="AF81" s="13"/>
      <c r="AG81" s="13"/>
      <c r="AH81" s="13"/>
      <c r="AI81" s="13"/>
      <c r="AJ81" s="13"/>
      <c r="AK81" s="13"/>
      <c r="AL81" s="13"/>
      <c r="AM81" s="14"/>
      <c r="AN81" s="14"/>
      <c r="AO81" s="14"/>
      <c r="AP81" s="14"/>
      <c r="AQ81" s="15"/>
      <c r="AR81" s="85"/>
      <c r="AS81" s="12"/>
      <c r="AT81" s="13"/>
      <c r="AU81" s="13"/>
      <c r="AV81" s="13"/>
      <c r="AW81" s="13"/>
      <c r="AX81" s="13"/>
      <c r="AY81" s="13"/>
      <c r="AZ81" s="14"/>
      <c r="BA81" s="14"/>
      <c r="BB81" s="14"/>
      <c r="BC81" s="14"/>
      <c r="BD81" s="14"/>
      <c r="BE81" s="15"/>
      <c r="BF81" s="85"/>
      <c r="BG81" s="12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5"/>
      <c r="BT81" s="85"/>
      <c r="BU81" s="12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5"/>
      <c r="CH81" s="61"/>
      <c r="CI81" s="182"/>
      <c r="CJ81" s="52"/>
      <c r="CK81" s="134"/>
      <c r="CL81" s="135"/>
      <c r="CM81" s="135"/>
      <c r="CN81" s="135"/>
      <c r="CO81" s="136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</row>
    <row r="82" spans="1:143" s="119" customFormat="1" ht="11.45" customHeight="1" x14ac:dyDescent="0.2">
      <c r="A82" s="182"/>
      <c r="B82" s="44"/>
      <c r="C82" s="5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1"/>
      <c r="P82" s="85"/>
      <c r="Q82" s="5"/>
      <c r="R82" s="9"/>
      <c r="S82" s="9"/>
      <c r="T82" s="9"/>
      <c r="U82" s="9"/>
      <c r="V82" s="9"/>
      <c r="W82" s="9"/>
      <c r="X82" s="10"/>
      <c r="Y82" s="10"/>
      <c r="Z82" s="10"/>
      <c r="AA82" s="10"/>
      <c r="AB82" s="10"/>
      <c r="AC82" s="11"/>
      <c r="AD82" s="85"/>
      <c r="AE82" s="5"/>
      <c r="AF82" s="9"/>
      <c r="AG82" s="9"/>
      <c r="AH82" s="9"/>
      <c r="AI82" s="9"/>
      <c r="AJ82" s="9"/>
      <c r="AK82" s="9"/>
      <c r="AL82" s="9"/>
      <c r="AM82" s="10"/>
      <c r="AN82" s="10"/>
      <c r="AO82" s="10"/>
      <c r="AP82" s="10"/>
      <c r="AQ82" s="11"/>
      <c r="AR82" s="85"/>
      <c r="AS82" s="5"/>
      <c r="AT82" s="9"/>
      <c r="AU82" s="9"/>
      <c r="AV82" s="9"/>
      <c r="AW82" s="9"/>
      <c r="AX82" s="9"/>
      <c r="AY82" s="9"/>
      <c r="AZ82" s="10"/>
      <c r="BA82" s="10"/>
      <c r="BB82" s="10"/>
      <c r="BC82" s="10"/>
      <c r="BD82" s="10"/>
      <c r="BE82" s="11"/>
      <c r="BF82" s="85"/>
      <c r="BG82" s="5"/>
      <c r="BH82" s="9"/>
      <c r="BI82" s="9"/>
      <c r="BJ82" s="9"/>
      <c r="BK82" s="9"/>
      <c r="BL82" s="9"/>
      <c r="BM82" s="9"/>
      <c r="BN82" s="9"/>
      <c r="BO82" s="10"/>
      <c r="BP82" s="10"/>
      <c r="BQ82" s="10"/>
      <c r="BR82" s="10"/>
      <c r="BS82" s="11"/>
      <c r="BT82" s="85"/>
      <c r="BU82" s="25"/>
      <c r="BV82" s="6"/>
      <c r="BW82" s="6"/>
      <c r="BX82" s="6"/>
      <c r="BY82" s="6"/>
      <c r="BZ82" s="6"/>
      <c r="CA82" s="6"/>
      <c r="CB82" s="9"/>
      <c r="CC82" s="9"/>
      <c r="CD82" s="9"/>
      <c r="CE82" s="9"/>
      <c r="CF82" s="9"/>
      <c r="CG82" s="11"/>
      <c r="CH82" s="61"/>
      <c r="CI82" s="182"/>
      <c r="CJ82" s="52"/>
      <c r="CK82" s="134"/>
      <c r="CL82" s="135"/>
      <c r="CM82" s="135"/>
      <c r="CN82" s="135"/>
      <c r="CO82" s="136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</row>
    <row r="83" spans="1:143" s="119" customFormat="1" ht="11.45" customHeight="1" x14ac:dyDescent="0.2">
      <c r="A83" s="183"/>
      <c r="B83" s="51"/>
      <c r="C83" s="28"/>
      <c r="D83" s="29"/>
      <c r="E83" s="29"/>
      <c r="F83" s="30"/>
      <c r="G83" s="30"/>
      <c r="H83" s="30"/>
      <c r="I83" s="30"/>
      <c r="J83" s="30"/>
      <c r="K83" s="30"/>
      <c r="L83" s="30"/>
      <c r="M83" s="30"/>
      <c r="N83" s="14"/>
      <c r="O83" s="15"/>
      <c r="P83" s="85"/>
      <c r="Q83" s="12"/>
      <c r="R83" s="13"/>
      <c r="S83" s="13"/>
      <c r="T83" s="13"/>
      <c r="U83" s="13"/>
      <c r="V83" s="13"/>
      <c r="W83" s="13"/>
      <c r="X83" s="14"/>
      <c r="Y83" s="14"/>
      <c r="Z83" s="14"/>
      <c r="AA83" s="14"/>
      <c r="AB83" s="14"/>
      <c r="AC83" s="15"/>
      <c r="AD83" s="85"/>
      <c r="AE83" s="12"/>
      <c r="AF83" s="29"/>
      <c r="AG83" s="29"/>
      <c r="AH83" s="29"/>
      <c r="AI83" s="29"/>
      <c r="AJ83" s="29"/>
      <c r="AK83" s="29"/>
      <c r="AL83" s="29"/>
      <c r="AM83" s="30"/>
      <c r="AN83" s="30"/>
      <c r="AO83" s="30"/>
      <c r="AP83" s="30"/>
      <c r="AQ83" s="31"/>
      <c r="AR83" s="85"/>
      <c r="AS83" s="28"/>
      <c r="AT83" s="29"/>
      <c r="AU83" s="29"/>
      <c r="AV83" s="29"/>
      <c r="AW83" s="29"/>
      <c r="AX83" s="29"/>
      <c r="AY83" s="29"/>
      <c r="AZ83" s="30"/>
      <c r="BA83" s="30"/>
      <c r="BB83" s="30"/>
      <c r="BC83" s="30"/>
      <c r="BD83" s="30"/>
      <c r="BE83" s="31"/>
      <c r="BF83" s="85"/>
      <c r="BG83" s="28"/>
      <c r="BH83" s="29"/>
      <c r="BI83" s="29"/>
      <c r="BJ83" s="29"/>
      <c r="BK83" s="29"/>
      <c r="BL83" s="29"/>
      <c r="BM83" s="29"/>
      <c r="BN83" s="29"/>
      <c r="BO83" s="30"/>
      <c r="BP83" s="30"/>
      <c r="BQ83" s="30"/>
      <c r="BR83" s="30"/>
      <c r="BS83" s="31"/>
      <c r="BT83" s="85"/>
      <c r="BU83" s="12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5"/>
      <c r="CH83" s="61"/>
      <c r="CI83" s="183"/>
      <c r="CJ83" s="52"/>
      <c r="CK83" s="134"/>
      <c r="CL83" s="135"/>
      <c r="CM83" s="135"/>
      <c r="CN83" s="135"/>
      <c r="CO83" s="136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</row>
    <row r="84" spans="1:143" s="37" customFormat="1" ht="12.95" customHeight="1" x14ac:dyDescent="0.2">
      <c r="A84" s="38"/>
      <c r="B84" s="91"/>
      <c r="C84" s="72" t="s">
        <v>0</v>
      </c>
      <c r="D84" s="173" t="s">
        <v>62</v>
      </c>
      <c r="E84" s="184"/>
      <c r="F84" s="184"/>
      <c r="G84" s="184"/>
      <c r="H84" s="184"/>
      <c r="I84" s="184"/>
      <c r="J84" s="184"/>
      <c r="K84" s="174"/>
      <c r="L84" s="173" t="s">
        <v>48</v>
      </c>
      <c r="M84" s="174"/>
      <c r="N84" s="173" t="s">
        <v>63</v>
      </c>
      <c r="O84" s="174"/>
      <c r="P84" s="85"/>
      <c r="Q84" s="72" t="s">
        <v>0</v>
      </c>
      <c r="R84" s="173" t="s">
        <v>62</v>
      </c>
      <c r="S84" s="184"/>
      <c r="T84" s="184"/>
      <c r="U84" s="184"/>
      <c r="V84" s="184"/>
      <c r="W84" s="184"/>
      <c r="X84" s="184"/>
      <c r="Y84" s="174"/>
      <c r="Z84" s="173" t="s">
        <v>48</v>
      </c>
      <c r="AA84" s="174"/>
      <c r="AB84" s="173" t="s">
        <v>63</v>
      </c>
      <c r="AC84" s="174"/>
      <c r="AD84" s="85"/>
      <c r="AE84" s="72" t="s">
        <v>0</v>
      </c>
      <c r="AF84" s="173" t="s">
        <v>62</v>
      </c>
      <c r="AG84" s="184"/>
      <c r="AH84" s="184"/>
      <c r="AI84" s="184"/>
      <c r="AJ84" s="184"/>
      <c r="AK84" s="184"/>
      <c r="AL84" s="184"/>
      <c r="AM84" s="174"/>
      <c r="AN84" s="173" t="s">
        <v>48</v>
      </c>
      <c r="AO84" s="174"/>
      <c r="AP84" s="173" t="s">
        <v>63</v>
      </c>
      <c r="AQ84" s="174"/>
      <c r="AR84" s="85"/>
      <c r="AS84" s="72" t="s">
        <v>0</v>
      </c>
      <c r="AT84" s="173" t="s">
        <v>62</v>
      </c>
      <c r="AU84" s="184"/>
      <c r="AV84" s="184"/>
      <c r="AW84" s="184"/>
      <c r="AX84" s="184"/>
      <c r="AY84" s="184"/>
      <c r="AZ84" s="184"/>
      <c r="BA84" s="174"/>
      <c r="BB84" s="173" t="s">
        <v>48</v>
      </c>
      <c r="BC84" s="174"/>
      <c r="BD84" s="173" t="s">
        <v>63</v>
      </c>
      <c r="BE84" s="174"/>
      <c r="BF84" s="85"/>
      <c r="BG84" s="72" t="s">
        <v>0</v>
      </c>
      <c r="BH84" s="173" t="s">
        <v>62</v>
      </c>
      <c r="BI84" s="184"/>
      <c r="BJ84" s="184"/>
      <c r="BK84" s="184"/>
      <c r="BL84" s="184"/>
      <c r="BM84" s="184"/>
      <c r="BN84" s="184"/>
      <c r="BO84" s="174"/>
      <c r="BP84" s="173" t="s">
        <v>48</v>
      </c>
      <c r="BQ84" s="174"/>
      <c r="BR84" s="173" t="s">
        <v>63</v>
      </c>
      <c r="BS84" s="174"/>
      <c r="BT84" s="85"/>
      <c r="BU84" s="72" t="s">
        <v>0</v>
      </c>
      <c r="BV84" s="173" t="s">
        <v>62</v>
      </c>
      <c r="BW84" s="184"/>
      <c r="BX84" s="184"/>
      <c r="BY84" s="184"/>
      <c r="BZ84" s="184"/>
      <c r="CA84" s="184"/>
      <c r="CB84" s="184"/>
      <c r="CC84" s="174"/>
      <c r="CD84" s="173" t="s">
        <v>48</v>
      </c>
      <c r="CE84" s="174"/>
      <c r="CF84" s="173" t="s">
        <v>63</v>
      </c>
      <c r="CG84" s="174"/>
      <c r="CH84" s="48"/>
      <c r="CI84" s="68"/>
      <c r="CJ84" s="53"/>
      <c r="CK84" s="134"/>
      <c r="CL84" s="135"/>
      <c r="CM84" s="135"/>
      <c r="CN84" s="135"/>
      <c r="CO84" s="136"/>
    </row>
    <row r="85" spans="1:143" s="32" customFormat="1" ht="12.95" customHeight="1" x14ac:dyDescent="0.2">
      <c r="A85" s="167" t="s">
        <v>58</v>
      </c>
      <c r="B85" s="45"/>
      <c r="C85" s="175"/>
      <c r="D85" s="152"/>
      <c r="E85" s="158"/>
      <c r="F85" s="158"/>
      <c r="G85" s="158"/>
      <c r="H85" s="158"/>
      <c r="I85" s="158"/>
      <c r="J85" s="158"/>
      <c r="K85" s="153"/>
      <c r="L85" s="152"/>
      <c r="M85" s="153"/>
      <c r="N85" s="152"/>
      <c r="O85" s="153"/>
      <c r="P85" s="85"/>
      <c r="Q85" s="156">
        <v>2100</v>
      </c>
      <c r="R85" s="152" t="s">
        <v>141</v>
      </c>
      <c r="S85" s="158"/>
      <c r="T85" s="158"/>
      <c r="U85" s="158"/>
      <c r="V85" s="158"/>
      <c r="W85" s="158"/>
      <c r="X85" s="158"/>
      <c r="Y85" s="153"/>
      <c r="Z85" s="152" t="s">
        <v>138</v>
      </c>
      <c r="AA85" s="153"/>
      <c r="AB85" s="152" t="s">
        <v>130</v>
      </c>
      <c r="AC85" s="153"/>
      <c r="AD85" s="85"/>
      <c r="AE85" s="156">
        <v>2100</v>
      </c>
      <c r="AF85" s="152" t="s">
        <v>140</v>
      </c>
      <c r="AG85" s="158"/>
      <c r="AH85" s="158"/>
      <c r="AI85" s="158"/>
      <c r="AJ85" s="158"/>
      <c r="AK85" s="158"/>
      <c r="AL85" s="158"/>
      <c r="AM85" s="153"/>
      <c r="AN85" s="152" t="s">
        <v>127</v>
      </c>
      <c r="AO85" s="153"/>
      <c r="AP85" s="152" t="s">
        <v>130</v>
      </c>
      <c r="AQ85" s="153"/>
      <c r="AR85" s="85"/>
      <c r="AS85" s="156">
        <v>2200</v>
      </c>
      <c r="AT85" s="152" t="s">
        <v>158</v>
      </c>
      <c r="AU85" s="158"/>
      <c r="AV85" s="158"/>
      <c r="AW85" s="158"/>
      <c r="AX85" s="158"/>
      <c r="AY85" s="158"/>
      <c r="AZ85" s="158"/>
      <c r="BA85" s="153"/>
      <c r="BB85" s="152" t="s">
        <v>127</v>
      </c>
      <c r="BC85" s="153"/>
      <c r="BD85" s="152" t="s">
        <v>12</v>
      </c>
      <c r="BE85" s="153"/>
      <c r="BF85" s="85"/>
      <c r="BG85" s="156" t="s">
        <v>17</v>
      </c>
      <c r="BH85" s="152" t="s">
        <v>198</v>
      </c>
      <c r="BI85" s="158"/>
      <c r="BJ85" s="158"/>
      <c r="BK85" s="158"/>
      <c r="BL85" s="158"/>
      <c r="BM85" s="158"/>
      <c r="BN85" s="158"/>
      <c r="BO85" s="153"/>
      <c r="BP85" s="169" t="s">
        <v>138</v>
      </c>
      <c r="BQ85" s="170"/>
      <c r="BR85" s="169" t="s">
        <v>119</v>
      </c>
      <c r="BS85" s="170"/>
      <c r="BT85" s="85"/>
      <c r="BU85" s="156"/>
      <c r="BV85" s="152"/>
      <c r="BW85" s="158"/>
      <c r="BX85" s="158"/>
      <c r="BY85" s="158"/>
      <c r="BZ85" s="158"/>
      <c r="CA85" s="158"/>
      <c r="CB85" s="158"/>
      <c r="CC85" s="153"/>
      <c r="CD85" s="163"/>
      <c r="CE85" s="164"/>
      <c r="CF85" s="163"/>
      <c r="CG85" s="164"/>
      <c r="CH85" s="49"/>
      <c r="CI85" s="167" t="s">
        <v>58</v>
      </c>
      <c r="CJ85" s="54"/>
      <c r="CK85" s="134"/>
      <c r="CL85" s="135"/>
      <c r="CM85" s="135"/>
      <c r="CN85" s="135"/>
      <c r="CO85" s="136"/>
    </row>
    <row r="86" spans="1:143" s="32" customFormat="1" ht="12.95" customHeight="1" x14ac:dyDescent="0.2">
      <c r="A86" s="167"/>
      <c r="B86" s="45"/>
      <c r="C86" s="157"/>
      <c r="D86" s="154"/>
      <c r="E86" s="159"/>
      <c r="F86" s="159"/>
      <c r="G86" s="159"/>
      <c r="H86" s="159"/>
      <c r="I86" s="159"/>
      <c r="J86" s="159"/>
      <c r="K86" s="155"/>
      <c r="L86" s="154"/>
      <c r="M86" s="155"/>
      <c r="N86" s="154"/>
      <c r="O86" s="155"/>
      <c r="P86" s="85"/>
      <c r="Q86" s="157"/>
      <c r="R86" s="154"/>
      <c r="S86" s="159"/>
      <c r="T86" s="159"/>
      <c r="U86" s="159"/>
      <c r="V86" s="159"/>
      <c r="W86" s="159"/>
      <c r="X86" s="159"/>
      <c r="Y86" s="155"/>
      <c r="Z86" s="154"/>
      <c r="AA86" s="155"/>
      <c r="AB86" s="154"/>
      <c r="AC86" s="155"/>
      <c r="AD86" s="85"/>
      <c r="AE86" s="157"/>
      <c r="AF86" s="154"/>
      <c r="AG86" s="159"/>
      <c r="AH86" s="159"/>
      <c r="AI86" s="159"/>
      <c r="AJ86" s="159"/>
      <c r="AK86" s="159"/>
      <c r="AL86" s="159"/>
      <c r="AM86" s="155"/>
      <c r="AN86" s="154"/>
      <c r="AO86" s="155"/>
      <c r="AP86" s="154"/>
      <c r="AQ86" s="155"/>
      <c r="AR86" s="85"/>
      <c r="AS86" s="157"/>
      <c r="AT86" s="154"/>
      <c r="AU86" s="159"/>
      <c r="AV86" s="159"/>
      <c r="AW86" s="159"/>
      <c r="AX86" s="159"/>
      <c r="AY86" s="159"/>
      <c r="AZ86" s="159"/>
      <c r="BA86" s="155"/>
      <c r="BB86" s="154"/>
      <c r="BC86" s="155"/>
      <c r="BD86" s="154"/>
      <c r="BE86" s="155"/>
      <c r="BF86" s="85"/>
      <c r="BG86" s="157"/>
      <c r="BH86" s="154"/>
      <c r="BI86" s="159"/>
      <c r="BJ86" s="159"/>
      <c r="BK86" s="159"/>
      <c r="BL86" s="159"/>
      <c r="BM86" s="159"/>
      <c r="BN86" s="159"/>
      <c r="BO86" s="155"/>
      <c r="BP86" s="171"/>
      <c r="BQ86" s="172"/>
      <c r="BR86" s="171"/>
      <c r="BS86" s="172"/>
      <c r="BT86" s="85"/>
      <c r="BU86" s="157"/>
      <c r="BV86" s="154"/>
      <c r="BW86" s="159"/>
      <c r="BX86" s="159"/>
      <c r="BY86" s="159"/>
      <c r="BZ86" s="159"/>
      <c r="CA86" s="159"/>
      <c r="CB86" s="159"/>
      <c r="CC86" s="155"/>
      <c r="CD86" s="165"/>
      <c r="CE86" s="166"/>
      <c r="CF86" s="165"/>
      <c r="CG86" s="166"/>
      <c r="CH86" s="49"/>
      <c r="CI86" s="167"/>
      <c r="CJ86" s="54"/>
      <c r="CK86" s="134"/>
      <c r="CL86" s="135"/>
      <c r="CM86" s="135"/>
      <c r="CN86" s="135"/>
      <c r="CO86" s="136"/>
    </row>
    <row r="87" spans="1:143" s="32" customFormat="1" ht="12.95" customHeight="1" x14ac:dyDescent="0.2">
      <c r="A87" s="167"/>
      <c r="B87" s="45"/>
      <c r="C87" s="156"/>
      <c r="D87" s="152"/>
      <c r="E87" s="158"/>
      <c r="F87" s="158"/>
      <c r="G87" s="158"/>
      <c r="H87" s="158"/>
      <c r="I87" s="158"/>
      <c r="J87" s="158"/>
      <c r="K87" s="153"/>
      <c r="L87" s="152"/>
      <c r="M87" s="153"/>
      <c r="N87" s="152"/>
      <c r="O87" s="153"/>
      <c r="P87" s="85"/>
      <c r="Q87" s="156">
        <v>2000</v>
      </c>
      <c r="R87" s="152" t="s">
        <v>208</v>
      </c>
      <c r="S87" s="158"/>
      <c r="T87" s="158"/>
      <c r="U87" s="158"/>
      <c r="V87" s="158"/>
      <c r="W87" s="158"/>
      <c r="X87" s="158"/>
      <c r="Y87" s="153"/>
      <c r="Z87" s="152" t="s">
        <v>100</v>
      </c>
      <c r="AA87" s="153"/>
      <c r="AB87" s="152" t="s">
        <v>103</v>
      </c>
      <c r="AC87" s="153"/>
      <c r="AD87" s="85"/>
      <c r="AE87" s="156">
        <v>2100</v>
      </c>
      <c r="AF87" s="152" t="s">
        <v>160</v>
      </c>
      <c r="AG87" s="158"/>
      <c r="AH87" s="158"/>
      <c r="AI87" s="158"/>
      <c r="AJ87" s="158"/>
      <c r="AK87" s="158"/>
      <c r="AL87" s="158"/>
      <c r="AM87" s="153"/>
      <c r="AN87" s="152" t="s">
        <v>100</v>
      </c>
      <c r="AO87" s="153"/>
      <c r="AP87" s="152" t="s">
        <v>130</v>
      </c>
      <c r="AQ87" s="153"/>
      <c r="AR87" s="85"/>
      <c r="AS87" s="156">
        <v>2200</v>
      </c>
      <c r="AT87" s="152" t="s">
        <v>161</v>
      </c>
      <c r="AU87" s="158"/>
      <c r="AV87" s="158"/>
      <c r="AW87" s="158"/>
      <c r="AX87" s="158"/>
      <c r="AY87" s="158"/>
      <c r="AZ87" s="158"/>
      <c r="BA87" s="153"/>
      <c r="BB87" s="152" t="s">
        <v>127</v>
      </c>
      <c r="BC87" s="153"/>
      <c r="BD87" s="152" t="s">
        <v>130</v>
      </c>
      <c r="BE87" s="153"/>
      <c r="BF87" s="85"/>
      <c r="BG87" s="156">
        <v>1200</v>
      </c>
      <c r="BH87" s="152" t="s">
        <v>205</v>
      </c>
      <c r="BI87" s="158"/>
      <c r="BJ87" s="158"/>
      <c r="BK87" s="158"/>
      <c r="BL87" s="158"/>
      <c r="BM87" s="158"/>
      <c r="BN87" s="158"/>
      <c r="BO87" s="153"/>
      <c r="BP87" s="152" t="s">
        <v>127</v>
      </c>
      <c r="BQ87" s="153"/>
      <c r="BR87" s="152" t="s">
        <v>130</v>
      </c>
      <c r="BS87" s="153"/>
      <c r="BT87" s="85"/>
      <c r="BU87" s="156"/>
      <c r="BV87" s="152"/>
      <c r="BW87" s="158"/>
      <c r="BX87" s="158"/>
      <c r="BY87" s="158"/>
      <c r="BZ87" s="158"/>
      <c r="CA87" s="158"/>
      <c r="CB87" s="158"/>
      <c r="CC87" s="153"/>
      <c r="CD87" s="163"/>
      <c r="CE87" s="164"/>
      <c r="CF87" s="163"/>
      <c r="CG87" s="164"/>
      <c r="CH87" s="49"/>
      <c r="CI87" s="167"/>
      <c r="CJ87" s="54"/>
      <c r="CK87" s="134"/>
      <c r="CL87" s="135"/>
      <c r="CM87" s="135"/>
      <c r="CN87" s="135"/>
      <c r="CO87" s="136"/>
    </row>
    <row r="88" spans="1:143" s="32" customFormat="1" ht="12.95" customHeight="1" x14ac:dyDescent="0.2">
      <c r="A88" s="167"/>
      <c r="B88" s="45"/>
      <c r="C88" s="157"/>
      <c r="D88" s="154"/>
      <c r="E88" s="159"/>
      <c r="F88" s="159"/>
      <c r="G88" s="159"/>
      <c r="H88" s="159"/>
      <c r="I88" s="159"/>
      <c r="J88" s="159"/>
      <c r="K88" s="155"/>
      <c r="L88" s="154"/>
      <c r="M88" s="155"/>
      <c r="N88" s="154"/>
      <c r="O88" s="155"/>
      <c r="P88" s="85"/>
      <c r="Q88" s="157"/>
      <c r="R88" s="154"/>
      <c r="S88" s="159"/>
      <c r="T88" s="159"/>
      <c r="U88" s="159"/>
      <c r="V88" s="159"/>
      <c r="W88" s="159"/>
      <c r="X88" s="159"/>
      <c r="Y88" s="155"/>
      <c r="Z88" s="154"/>
      <c r="AA88" s="155"/>
      <c r="AB88" s="154"/>
      <c r="AC88" s="155"/>
      <c r="AD88" s="85"/>
      <c r="AE88" s="157"/>
      <c r="AF88" s="154"/>
      <c r="AG88" s="159"/>
      <c r="AH88" s="159"/>
      <c r="AI88" s="159"/>
      <c r="AJ88" s="159"/>
      <c r="AK88" s="159"/>
      <c r="AL88" s="159"/>
      <c r="AM88" s="155"/>
      <c r="AN88" s="154"/>
      <c r="AO88" s="155"/>
      <c r="AP88" s="154"/>
      <c r="AQ88" s="155"/>
      <c r="AR88" s="85"/>
      <c r="AS88" s="157"/>
      <c r="AT88" s="154"/>
      <c r="AU88" s="159"/>
      <c r="AV88" s="159"/>
      <c r="AW88" s="159"/>
      <c r="AX88" s="159"/>
      <c r="AY88" s="159"/>
      <c r="AZ88" s="159"/>
      <c r="BA88" s="155"/>
      <c r="BB88" s="154"/>
      <c r="BC88" s="155"/>
      <c r="BD88" s="154"/>
      <c r="BE88" s="155"/>
      <c r="BF88" s="85"/>
      <c r="BG88" s="157"/>
      <c r="BH88" s="154"/>
      <c r="BI88" s="159"/>
      <c r="BJ88" s="159"/>
      <c r="BK88" s="159"/>
      <c r="BL88" s="159"/>
      <c r="BM88" s="159"/>
      <c r="BN88" s="159"/>
      <c r="BO88" s="155"/>
      <c r="BP88" s="154"/>
      <c r="BQ88" s="155"/>
      <c r="BR88" s="154"/>
      <c r="BS88" s="155"/>
      <c r="BT88" s="85"/>
      <c r="BU88" s="157"/>
      <c r="BV88" s="154"/>
      <c r="BW88" s="159"/>
      <c r="BX88" s="159"/>
      <c r="BY88" s="159"/>
      <c r="BZ88" s="159"/>
      <c r="CA88" s="159"/>
      <c r="CB88" s="159"/>
      <c r="CC88" s="155"/>
      <c r="CD88" s="165"/>
      <c r="CE88" s="166"/>
      <c r="CF88" s="165"/>
      <c r="CG88" s="166"/>
      <c r="CH88" s="49"/>
      <c r="CI88" s="167"/>
      <c r="CJ88" s="54"/>
      <c r="CK88" s="134"/>
      <c r="CL88" s="135"/>
      <c r="CM88" s="135"/>
      <c r="CN88" s="135"/>
      <c r="CO88" s="136"/>
    </row>
    <row r="89" spans="1:143" s="32" customFormat="1" ht="12.95" customHeight="1" x14ac:dyDescent="0.2">
      <c r="A89" s="167"/>
      <c r="B89" s="45"/>
      <c r="C89" s="156"/>
      <c r="D89" s="152"/>
      <c r="E89" s="158"/>
      <c r="F89" s="158"/>
      <c r="G89" s="158"/>
      <c r="H89" s="158"/>
      <c r="I89" s="158"/>
      <c r="J89" s="158"/>
      <c r="K89" s="153"/>
      <c r="L89" s="152"/>
      <c r="M89" s="153"/>
      <c r="N89" s="152"/>
      <c r="O89" s="153"/>
      <c r="P89" s="85"/>
      <c r="Q89" s="156">
        <v>2100</v>
      </c>
      <c r="R89" s="152" t="s">
        <v>212</v>
      </c>
      <c r="S89" s="158"/>
      <c r="T89" s="158"/>
      <c r="U89" s="158"/>
      <c r="V89" s="158"/>
      <c r="W89" s="158"/>
      <c r="X89" s="158"/>
      <c r="Y89" s="153"/>
      <c r="Z89" s="152" t="s">
        <v>100</v>
      </c>
      <c r="AA89" s="153"/>
      <c r="AB89" s="152" t="s">
        <v>128</v>
      </c>
      <c r="AC89" s="153"/>
      <c r="AD89" s="85"/>
      <c r="AE89" s="156"/>
      <c r="AF89" s="152"/>
      <c r="AG89" s="158"/>
      <c r="AH89" s="158"/>
      <c r="AI89" s="158"/>
      <c r="AJ89" s="158"/>
      <c r="AK89" s="158"/>
      <c r="AL89" s="158"/>
      <c r="AM89" s="153"/>
      <c r="AN89" s="163"/>
      <c r="AO89" s="164"/>
      <c r="AP89" s="163"/>
      <c r="AQ89" s="164"/>
      <c r="AR89" s="85"/>
      <c r="AS89" s="156">
        <v>2200</v>
      </c>
      <c r="AT89" s="152" t="s">
        <v>159</v>
      </c>
      <c r="AU89" s="158"/>
      <c r="AV89" s="158"/>
      <c r="AW89" s="158"/>
      <c r="AX89" s="158"/>
      <c r="AY89" s="158"/>
      <c r="AZ89" s="158"/>
      <c r="BA89" s="153"/>
      <c r="BB89" s="152" t="s">
        <v>127</v>
      </c>
      <c r="BC89" s="153"/>
      <c r="BD89" s="152" t="s">
        <v>124</v>
      </c>
      <c r="BE89" s="153"/>
      <c r="BF89" s="85"/>
      <c r="BG89" s="156">
        <v>1100</v>
      </c>
      <c r="BH89" s="152" t="s">
        <v>211</v>
      </c>
      <c r="BI89" s="158"/>
      <c r="BJ89" s="158"/>
      <c r="BK89" s="158"/>
      <c r="BL89" s="158"/>
      <c r="BM89" s="158"/>
      <c r="BN89" s="158"/>
      <c r="BO89" s="153"/>
      <c r="BP89" s="152" t="s">
        <v>100</v>
      </c>
      <c r="BQ89" s="153"/>
      <c r="BR89" s="152" t="s">
        <v>128</v>
      </c>
      <c r="BS89" s="153"/>
      <c r="BT89" s="85"/>
      <c r="BU89" s="156"/>
      <c r="BV89" s="152"/>
      <c r="BW89" s="158"/>
      <c r="BX89" s="158"/>
      <c r="BY89" s="158"/>
      <c r="BZ89" s="158"/>
      <c r="CA89" s="158"/>
      <c r="CB89" s="158"/>
      <c r="CC89" s="153"/>
      <c r="CD89" s="163"/>
      <c r="CE89" s="164"/>
      <c r="CF89" s="163"/>
      <c r="CG89" s="164"/>
      <c r="CH89" s="49"/>
      <c r="CI89" s="167"/>
      <c r="CJ89" s="54"/>
      <c r="CK89" s="134"/>
      <c r="CL89" s="135"/>
      <c r="CM89" s="135"/>
      <c r="CN89" s="135"/>
      <c r="CO89" s="136"/>
    </row>
    <row r="90" spans="1:143" s="32" customFormat="1" ht="12.95" customHeight="1" x14ac:dyDescent="0.2">
      <c r="A90" s="167"/>
      <c r="B90" s="45"/>
      <c r="C90" s="157"/>
      <c r="D90" s="154"/>
      <c r="E90" s="159"/>
      <c r="F90" s="159"/>
      <c r="G90" s="159"/>
      <c r="H90" s="159"/>
      <c r="I90" s="159"/>
      <c r="J90" s="159"/>
      <c r="K90" s="155"/>
      <c r="L90" s="154"/>
      <c r="M90" s="155"/>
      <c r="N90" s="154"/>
      <c r="O90" s="155"/>
      <c r="P90" s="85"/>
      <c r="Q90" s="157"/>
      <c r="R90" s="154"/>
      <c r="S90" s="159"/>
      <c r="T90" s="159"/>
      <c r="U90" s="159"/>
      <c r="V90" s="159"/>
      <c r="W90" s="159"/>
      <c r="X90" s="159"/>
      <c r="Y90" s="155"/>
      <c r="Z90" s="154"/>
      <c r="AA90" s="155"/>
      <c r="AB90" s="154"/>
      <c r="AC90" s="155"/>
      <c r="AD90" s="85"/>
      <c r="AE90" s="157"/>
      <c r="AF90" s="154"/>
      <c r="AG90" s="159"/>
      <c r="AH90" s="159"/>
      <c r="AI90" s="159"/>
      <c r="AJ90" s="159"/>
      <c r="AK90" s="159"/>
      <c r="AL90" s="159"/>
      <c r="AM90" s="155"/>
      <c r="AN90" s="165"/>
      <c r="AO90" s="166"/>
      <c r="AP90" s="165"/>
      <c r="AQ90" s="166"/>
      <c r="AR90" s="85"/>
      <c r="AS90" s="157"/>
      <c r="AT90" s="154"/>
      <c r="AU90" s="159"/>
      <c r="AV90" s="159"/>
      <c r="AW90" s="159"/>
      <c r="AX90" s="159"/>
      <c r="AY90" s="159"/>
      <c r="AZ90" s="159"/>
      <c r="BA90" s="155"/>
      <c r="BB90" s="154"/>
      <c r="BC90" s="155"/>
      <c r="BD90" s="154"/>
      <c r="BE90" s="155"/>
      <c r="BF90" s="85"/>
      <c r="BG90" s="157"/>
      <c r="BH90" s="154"/>
      <c r="BI90" s="159"/>
      <c r="BJ90" s="159"/>
      <c r="BK90" s="159"/>
      <c r="BL90" s="159"/>
      <c r="BM90" s="159"/>
      <c r="BN90" s="159"/>
      <c r="BO90" s="155"/>
      <c r="BP90" s="154"/>
      <c r="BQ90" s="155"/>
      <c r="BR90" s="154"/>
      <c r="BS90" s="155"/>
      <c r="BT90" s="85"/>
      <c r="BU90" s="157"/>
      <c r="BV90" s="154"/>
      <c r="BW90" s="159"/>
      <c r="BX90" s="159"/>
      <c r="BY90" s="159"/>
      <c r="BZ90" s="159"/>
      <c r="CA90" s="159"/>
      <c r="CB90" s="159"/>
      <c r="CC90" s="155"/>
      <c r="CD90" s="165"/>
      <c r="CE90" s="166"/>
      <c r="CF90" s="165"/>
      <c r="CG90" s="166"/>
      <c r="CH90" s="49"/>
      <c r="CI90" s="167"/>
      <c r="CJ90" s="54"/>
      <c r="CK90" s="134"/>
      <c r="CL90" s="135"/>
      <c r="CM90" s="135"/>
      <c r="CN90" s="135"/>
      <c r="CO90" s="136"/>
    </row>
    <row r="91" spans="1:143" s="32" customFormat="1" ht="12.95" customHeight="1" x14ac:dyDescent="0.2">
      <c r="A91" s="167"/>
      <c r="B91" s="45"/>
      <c r="C91" s="156"/>
      <c r="D91" s="152"/>
      <c r="E91" s="158"/>
      <c r="F91" s="158"/>
      <c r="G91" s="158"/>
      <c r="H91" s="158"/>
      <c r="I91" s="158"/>
      <c r="J91" s="158"/>
      <c r="K91" s="153"/>
      <c r="L91" s="152"/>
      <c r="M91" s="153"/>
      <c r="N91" s="152"/>
      <c r="O91" s="153"/>
      <c r="P91" s="85"/>
      <c r="Q91" s="156"/>
      <c r="R91" s="152"/>
      <c r="S91" s="158"/>
      <c r="T91" s="158"/>
      <c r="U91" s="158"/>
      <c r="V91" s="158"/>
      <c r="W91" s="158"/>
      <c r="X91" s="158"/>
      <c r="Y91" s="153"/>
      <c r="Z91" s="152"/>
      <c r="AA91" s="153"/>
      <c r="AB91" s="152"/>
      <c r="AC91" s="153"/>
      <c r="AD91" s="85"/>
      <c r="AE91" s="156"/>
      <c r="AF91" s="152"/>
      <c r="AG91" s="158"/>
      <c r="AH91" s="158"/>
      <c r="AI91" s="158"/>
      <c r="AJ91" s="158"/>
      <c r="AK91" s="158"/>
      <c r="AL91" s="158"/>
      <c r="AM91" s="153"/>
      <c r="AN91" s="163"/>
      <c r="AO91" s="164"/>
      <c r="AP91" s="163"/>
      <c r="AQ91" s="164"/>
      <c r="AR91" s="85"/>
      <c r="AS91" s="156"/>
      <c r="AT91" s="152"/>
      <c r="AU91" s="158"/>
      <c r="AV91" s="158"/>
      <c r="AW91" s="158"/>
      <c r="AX91" s="158"/>
      <c r="AY91" s="158"/>
      <c r="AZ91" s="158"/>
      <c r="BA91" s="153"/>
      <c r="BB91" s="163"/>
      <c r="BC91" s="164"/>
      <c r="BD91" s="163"/>
      <c r="BE91" s="164"/>
      <c r="BF91" s="85"/>
      <c r="BG91" s="156"/>
      <c r="BH91" s="152"/>
      <c r="BI91" s="158"/>
      <c r="BJ91" s="158"/>
      <c r="BK91" s="158"/>
      <c r="BL91" s="158"/>
      <c r="BM91" s="158"/>
      <c r="BN91" s="158"/>
      <c r="BO91" s="153"/>
      <c r="BP91" s="163"/>
      <c r="BQ91" s="164"/>
      <c r="BR91" s="163"/>
      <c r="BS91" s="164"/>
      <c r="BT91" s="85"/>
      <c r="BU91" s="156"/>
      <c r="BV91" s="152"/>
      <c r="BW91" s="158"/>
      <c r="BX91" s="158"/>
      <c r="BY91" s="158"/>
      <c r="BZ91" s="158"/>
      <c r="CA91" s="158"/>
      <c r="CB91" s="158"/>
      <c r="CC91" s="153"/>
      <c r="CD91" s="163"/>
      <c r="CE91" s="164"/>
      <c r="CF91" s="163"/>
      <c r="CG91" s="164"/>
      <c r="CH91" s="49"/>
      <c r="CI91" s="167"/>
      <c r="CJ91" s="54"/>
      <c r="CK91" s="134"/>
      <c r="CL91" s="135"/>
      <c r="CM91" s="135"/>
      <c r="CN91" s="135"/>
      <c r="CO91" s="136"/>
    </row>
    <row r="92" spans="1:143" s="32" customFormat="1" ht="12.95" customHeight="1" x14ac:dyDescent="0.2">
      <c r="A92" s="168"/>
      <c r="B92" s="92"/>
      <c r="C92" s="157"/>
      <c r="D92" s="154"/>
      <c r="E92" s="159"/>
      <c r="F92" s="159"/>
      <c r="G92" s="159"/>
      <c r="H92" s="159"/>
      <c r="I92" s="159"/>
      <c r="J92" s="159"/>
      <c r="K92" s="155"/>
      <c r="L92" s="154"/>
      <c r="M92" s="155"/>
      <c r="N92" s="154"/>
      <c r="O92" s="155"/>
      <c r="P92" s="85"/>
      <c r="Q92" s="157"/>
      <c r="R92" s="154"/>
      <c r="S92" s="159"/>
      <c r="T92" s="159"/>
      <c r="U92" s="159"/>
      <c r="V92" s="159"/>
      <c r="W92" s="159"/>
      <c r="X92" s="159"/>
      <c r="Y92" s="155"/>
      <c r="Z92" s="154"/>
      <c r="AA92" s="155"/>
      <c r="AB92" s="154"/>
      <c r="AC92" s="155"/>
      <c r="AD92" s="85"/>
      <c r="AE92" s="157"/>
      <c r="AF92" s="154"/>
      <c r="AG92" s="159"/>
      <c r="AH92" s="159"/>
      <c r="AI92" s="159"/>
      <c r="AJ92" s="159"/>
      <c r="AK92" s="159"/>
      <c r="AL92" s="159"/>
      <c r="AM92" s="155"/>
      <c r="AN92" s="165"/>
      <c r="AO92" s="166"/>
      <c r="AP92" s="165"/>
      <c r="AQ92" s="166"/>
      <c r="AR92" s="85"/>
      <c r="AS92" s="157"/>
      <c r="AT92" s="154"/>
      <c r="AU92" s="159"/>
      <c r="AV92" s="159"/>
      <c r="AW92" s="159"/>
      <c r="AX92" s="159"/>
      <c r="AY92" s="159"/>
      <c r="AZ92" s="159"/>
      <c r="BA92" s="155"/>
      <c r="BB92" s="165"/>
      <c r="BC92" s="166"/>
      <c r="BD92" s="165"/>
      <c r="BE92" s="166"/>
      <c r="BF92" s="85"/>
      <c r="BG92" s="157"/>
      <c r="BH92" s="154"/>
      <c r="BI92" s="159"/>
      <c r="BJ92" s="159"/>
      <c r="BK92" s="159"/>
      <c r="BL92" s="159"/>
      <c r="BM92" s="159"/>
      <c r="BN92" s="159"/>
      <c r="BO92" s="155"/>
      <c r="BP92" s="165"/>
      <c r="BQ92" s="166"/>
      <c r="BR92" s="165"/>
      <c r="BS92" s="166"/>
      <c r="BT92" s="85"/>
      <c r="BU92" s="157"/>
      <c r="BV92" s="154"/>
      <c r="BW92" s="159"/>
      <c r="BX92" s="159"/>
      <c r="BY92" s="159"/>
      <c r="BZ92" s="159"/>
      <c r="CA92" s="159"/>
      <c r="CB92" s="159"/>
      <c r="CC92" s="155"/>
      <c r="CD92" s="165"/>
      <c r="CE92" s="166"/>
      <c r="CF92" s="165"/>
      <c r="CG92" s="166"/>
      <c r="CH92" s="50"/>
      <c r="CI92" s="168"/>
      <c r="CJ92" s="54"/>
      <c r="CK92" s="134"/>
      <c r="CL92" s="135"/>
      <c r="CM92" s="135"/>
      <c r="CN92" s="135"/>
      <c r="CO92" s="136"/>
    </row>
    <row r="93" spans="1:143" ht="12.95" customHeight="1" x14ac:dyDescent="0.2">
      <c r="A93" s="160" t="s">
        <v>2</v>
      </c>
      <c r="B93" s="93"/>
      <c r="C93" s="140" t="s">
        <v>59</v>
      </c>
      <c r="D93" s="141"/>
      <c r="E93" s="141"/>
      <c r="F93" s="141"/>
      <c r="G93" s="128"/>
      <c r="H93" s="128"/>
      <c r="I93" s="128"/>
      <c r="J93" s="128"/>
      <c r="K93" s="149"/>
      <c r="L93" s="150"/>
      <c r="M93" s="150"/>
      <c r="N93" s="150"/>
      <c r="O93" s="151"/>
      <c r="P93" s="123"/>
      <c r="Q93" s="149" t="s">
        <v>59</v>
      </c>
      <c r="R93" s="150"/>
      <c r="S93" s="150"/>
      <c r="T93" s="150"/>
      <c r="U93" s="150"/>
      <c r="V93" s="150"/>
      <c r="W93" s="150"/>
      <c r="X93" s="151"/>
      <c r="Y93" s="149" t="s">
        <v>135</v>
      </c>
      <c r="Z93" s="150"/>
      <c r="AA93" s="150"/>
      <c r="AB93" s="150"/>
      <c r="AC93" s="151"/>
      <c r="AD93" s="123"/>
      <c r="AE93" s="149" t="s">
        <v>59</v>
      </c>
      <c r="AF93" s="150"/>
      <c r="AG93" s="150"/>
      <c r="AH93" s="150"/>
      <c r="AI93" s="150"/>
      <c r="AJ93" s="150"/>
      <c r="AK93" s="150"/>
      <c r="AL93" s="151"/>
      <c r="AM93" s="149" t="s">
        <v>136</v>
      </c>
      <c r="AN93" s="150"/>
      <c r="AO93" s="150"/>
      <c r="AP93" s="150"/>
      <c r="AQ93" s="151"/>
      <c r="AR93" s="123"/>
      <c r="AS93" s="149" t="s">
        <v>59</v>
      </c>
      <c r="AT93" s="150"/>
      <c r="AU93" s="150"/>
      <c r="AV93" s="150"/>
      <c r="AW93" s="150"/>
      <c r="AX93" s="150"/>
      <c r="AY93" s="150"/>
      <c r="AZ93" s="151"/>
      <c r="BA93" s="149" t="s">
        <v>132</v>
      </c>
      <c r="BB93" s="150"/>
      <c r="BC93" s="150"/>
      <c r="BD93" s="150"/>
      <c r="BE93" s="151"/>
      <c r="BF93" s="123"/>
      <c r="BG93" s="149" t="s">
        <v>59</v>
      </c>
      <c r="BH93" s="150"/>
      <c r="BI93" s="150"/>
      <c r="BJ93" s="150"/>
      <c r="BK93" s="150"/>
      <c r="BL93" s="150"/>
      <c r="BM93" s="150"/>
      <c r="BN93" s="151"/>
      <c r="BO93" s="149" t="s">
        <v>133</v>
      </c>
      <c r="BP93" s="150"/>
      <c r="BQ93" s="150"/>
      <c r="BR93" s="150"/>
      <c r="BS93" s="151"/>
      <c r="BT93" s="123"/>
      <c r="BU93" s="149"/>
      <c r="BV93" s="150"/>
      <c r="BW93" s="150"/>
      <c r="BX93" s="150"/>
      <c r="BY93" s="150"/>
      <c r="BZ93" s="150"/>
      <c r="CA93" s="150"/>
      <c r="CB93" s="151"/>
      <c r="CC93" s="149"/>
      <c r="CD93" s="150"/>
      <c r="CE93" s="150"/>
      <c r="CF93" s="150"/>
      <c r="CG93" s="151"/>
      <c r="CH93" s="65"/>
      <c r="CI93" s="160" t="s">
        <v>2</v>
      </c>
      <c r="CJ93" s="55"/>
      <c r="CK93" s="134"/>
      <c r="CL93" s="135"/>
      <c r="CM93" s="135"/>
      <c r="CN93" s="135"/>
      <c r="CO93" s="136"/>
    </row>
    <row r="94" spans="1:143" ht="12.95" customHeight="1" x14ac:dyDescent="0.2">
      <c r="A94" s="161"/>
      <c r="B94" s="46"/>
      <c r="C94" s="140" t="s">
        <v>60</v>
      </c>
      <c r="D94" s="141"/>
      <c r="E94" s="141"/>
      <c r="F94" s="142"/>
      <c r="G94" s="128"/>
      <c r="H94" s="128"/>
      <c r="I94" s="128"/>
      <c r="J94" s="128"/>
      <c r="K94" s="143" t="s">
        <v>148</v>
      </c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CB94" s="144"/>
      <c r="CC94" s="144"/>
      <c r="CD94" s="144"/>
      <c r="CE94" s="144"/>
      <c r="CF94" s="144"/>
      <c r="CG94" s="145"/>
      <c r="CH94" s="66"/>
      <c r="CI94" s="161"/>
      <c r="CJ94" s="55"/>
      <c r="CK94" s="134"/>
      <c r="CL94" s="135"/>
      <c r="CM94" s="135"/>
      <c r="CN94" s="135"/>
      <c r="CO94" s="136"/>
    </row>
    <row r="95" spans="1:143" ht="12.95" customHeight="1" x14ac:dyDescent="0.2">
      <c r="A95" s="161"/>
      <c r="B95" s="46"/>
      <c r="C95" s="140" t="s">
        <v>8</v>
      </c>
      <c r="D95" s="141"/>
      <c r="E95" s="141"/>
      <c r="F95" s="142"/>
      <c r="G95" s="128"/>
      <c r="H95" s="128"/>
      <c r="I95" s="128"/>
      <c r="J95" s="128"/>
      <c r="K95" s="143" t="s">
        <v>139</v>
      </c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5"/>
      <c r="CH95" s="66"/>
      <c r="CI95" s="161"/>
      <c r="CJ95" s="55"/>
      <c r="CK95" s="134"/>
      <c r="CL95" s="135"/>
      <c r="CM95" s="135"/>
      <c r="CN95" s="135"/>
      <c r="CO95" s="136"/>
    </row>
    <row r="96" spans="1:143" ht="12.95" customHeight="1" x14ac:dyDescent="0.2">
      <c r="A96" s="162"/>
      <c r="B96" s="47"/>
      <c r="C96" s="146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  <c r="CC96" s="147"/>
      <c r="CD96" s="147"/>
      <c r="CE96" s="147"/>
      <c r="CF96" s="147"/>
      <c r="CG96" s="148"/>
      <c r="CH96" s="67"/>
      <c r="CI96" s="162"/>
      <c r="CJ96" s="56"/>
      <c r="CK96" s="137"/>
      <c r="CL96" s="138"/>
      <c r="CM96" s="138"/>
      <c r="CN96" s="138"/>
      <c r="CO96" s="139"/>
    </row>
  </sheetData>
  <sheetProtection formatCells="0" selectLockedCells="1"/>
  <mergeCells count="338">
    <mergeCell ref="BU5:CG5"/>
    <mergeCell ref="CI5:CI6"/>
    <mergeCell ref="CK5:CO6"/>
    <mergeCell ref="C6:O6"/>
    <mergeCell ref="Q6:AC6"/>
    <mergeCell ref="AE6:AQ6"/>
    <mergeCell ref="AS6:BE6"/>
    <mergeCell ref="BG6:BS6"/>
    <mergeCell ref="BU6:CG6"/>
    <mergeCell ref="A1:CO1"/>
    <mergeCell ref="G2:CM2"/>
    <mergeCell ref="CN2:CO2"/>
    <mergeCell ref="H3:I3"/>
    <mergeCell ref="K3:L3"/>
    <mergeCell ref="M3:N3"/>
    <mergeCell ref="U3:Y3"/>
    <mergeCell ref="Z3:AB3"/>
    <mergeCell ref="AC3:AH3"/>
    <mergeCell ref="BA7:BB7"/>
    <mergeCell ref="AM7:AN7"/>
    <mergeCell ref="BC7:BD7"/>
    <mergeCell ref="A5:A6"/>
    <mergeCell ref="C5:O5"/>
    <mergeCell ref="Q5:AC5"/>
    <mergeCell ref="AE5:AQ5"/>
    <mergeCell ref="AS5:BE5"/>
    <mergeCell ref="BG5:BS5"/>
    <mergeCell ref="CF7:CG7"/>
    <mergeCell ref="AP7:AQ7"/>
    <mergeCell ref="BQ7:BR7"/>
    <mergeCell ref="C7:D7"/>
    <mergeCell ref="E7:F7"/>
    <mergeCell ref="G7:H7"/>
    <mergeCell ref="I7:J7"/>
    <mergeCell ref="K7:L7"/>
    <mergeCell ref="AE7:AF7"/>
    <mergeCell ref="AG7:AH7"/>
    <mergeCell ref="AI7:AJ7"/>
    <mergeCell ref="AK7:AL7"/>
    <mergeCell ref="Q7:R7"/>
    <mergeCell ref="S7:T7"/>
    <mergeCell ref="U7:V7"/>
    <mergeCell ref="N7:O7"/>
    <mergeCell ref="AB7:AC7"/>
    <mergeCell ref="Y7:Z7"/>
    <mergeCell ref="BM7:BN7"/>
    <mergeCell ref="BO7:BP7"/>
    <mergeCell ref="AS7:AT7"/>
    <mergeCell ref="AU7:AV7"/>
    <mergeCell ref="AW7:AX7"/>
    <mergeCell ref="AY7:AZ7"/>
    <mergeCell ref="A16:A19"/>
    <mergeCell ref="CI16:CI19"/>
    <mergeCell ref="CK16:CO17"/>
    <mergeCell ref="CK18:CK19"/>
    <mergeCell ref="CL18:CL19"/>
    <mergeCell ref="CM18:CM19"/>
    <mergeCell ref="CN18:CN19"/>
    <mergeCell ref="CO18:CO19"/>
    <mergeCell ref="CK7:CO7"/>
    <mergeCell ref="A8:A11"/>
    <mergeCell ref="CI8:CI11"/>
    <mergeCell ref="CK8:CO11"/>
    <mergeCell ref="A12:A15"/>
    <mergeCell ref="CI12:CI15"/>
    <mergeCell ref="CK12:CO15"/>
    <mergeCell ref="BU7:BV7"/>
    <mergeCell ref="BW7:BX7"/>
    <mergeCell ref="BY7:BZ7"/>
    <mergeCell ref="CA7:CB7"/>
    <mergeCell ref="CC7:CD7"/>
    <mergeCell ref="BG7:BH7"/>
    <mergeCell ref="BI7:BJ7"/>
    <mergeCell ref="BK7:BL7"/>
    <mergeCell ref="W7:X7"/>
    <mergeCell ref="CO20:CO21"/>
    <mergeCell ref="CK22:CK23"/>
    <mergeCell ref="CL22:CL23"/>
    <mergeCell ref="CM22:CM23"/>
    <mergeCell ref="CN22:CN23"/>
    <mergeCell ref="CO22:CO23"/>
    <mergeCell ref="A20:A23"/>
    <mergeCell ref="CI20:CI23"/>
    <mergeCell ref="CK20:CK21"/>
    <mergeCell ref="CL20:CL21"/>
    <mergeCell ref="CM20:CM21"/>
    <mergeCell ref="CN20:CN21"/>
    <mergeCell ref="CO24:CO25"/>
    <mergeCell ref="CK26:CK27"/>
    <mergeCell ref="CL26:CL27"/>
    <mergeCell ref="CM26:CM27"/>
    <mergeCell ref="CN26:CN27"/>
    <mergeCell ref="CO26:CO27"/>
    <mergeCell ref="A24:A27"/>
    <mergeCell ref="CI24:CI27"/>
    <mergeCell ref="CK24:CK25"/>
    <mergeCell ref="CL24:CL25"/>
    <mergeCell ref="CM24:CM25"/>
    <mergeCell ref="CN24:CN25"/>
    <mergeCell ref="CO28:CO29"/>
    <mergeCell ref="CK30:CK31"/>
    <mergeCell ref="CL30:CL31"/>
    <mergeCell ref="CM30:CM31"/>
    <mergeCell ref="CN30:CN31"/>
    <mergeCell ref="CO30:CO31"/>
    <mergeCell ref="A28:A31"/>
    <mergeCell ref="CI28:CI31"/>
    <mergeCell ref="CK28:CK29"/>
    <mergeCell ref="CL28:CL29"/>
    <mergeCell ref="CM28:CM29"/>
    <mergeCell ref="CN28:CN29"/>
    <mergeCell ref="CO32:CO33"/>
    <mergeCell ref="CK34:CK35"/>
    <mergeCell ref="CL34:CL35"/>
    <mergeCell ref="CM34:CM35"/>
    <mergeCell ref="CN34:CN35"/>
    <mergeCell ref="CO34:CO35"/>
    <mergeCell ref="A32:A35"/>
    <mergeCell ref="CI32:CI35"/>
    <mergeCell ref="CK32:CK33"/>
    <mergeCell ref="CL32:CL33"/>
    <mergeCell ref="CM32:CM33"/>
    <mergeCell ref="CN32:CN33"/>
    <mergeCell ref="A40:A43"/>
    <mergeCell ref="CI40:CI43"/>
    <mergeCell ref="CK40:CK41"/>
    <mergeCell ref="CL40:CL41"/>
    <mergeCell ref="CM40:CM41"/>
    <mergeCell ref="CN40:CN41"/>
    <mergeCell ref="CO36:CO37"/>
    <mergeCell ref="CK38:CK39"/>
    <mergeCell ref="CL38:CL39"/>
    <mergeCell ref="CM38:CM39"/>
    <mergeCell ref="CN38:CN39"/>
    <mergeCell ref="CO38:CO39"/>
    <mergeCell ref="A36:A39"/>
    <mergeCell ref="CI36:CI39"/>
    <mergeCell ref="CK36:CK37"/>
    <mergeCell ref="CL36:CL37"/>
    <mergeCell ref="CM36:CM37"/>
    <mergeCell ref="CN36:CN37"/>
    <mergeCell ref="CO40:CO41"/>
    <mergeCell ref="BU41:CG42"/>
    <mergeCell ref="CK42:CK43"/>
    <mergeCell ref="CL42:CL43"/>
    <mergeCell ref="CM42:CM43"/>
    <mergeCell ref="CN42:CN43"/>
    <mergeCell ref="CO42:CO43"/>
    <mergeCell ref="BU43:CG44"/>
    <mergeCell ref="CO44:CO45"/>
    <mergeCell ref="CO46:CO47"/>
    <mergeCell ref="A48:A51"/>
    <mergeCell ref="CI48:CI51"/>
    <mergeCell ref="CK48:CK49"/>
    <mergeCell ref="CL48:CL49"/>
    <mergeCell ref="CM48:CM49"/>
    <mergeCell ref="CN48:CN49"/>
    <mergeCell ref="CO48:CO49"/>
    <mergeCell ref="CK50:CK51"/>
    <mergeCell ref="CL50:CL51"/>
    <mergeCell ref="A44:A47"/>
    <mergeCell ref="CI44:CI47"/>
    <mergeCell ref="CK44:CK45"/>
    <mergeCell ref="CL44:CL45"/>
    <mergeCell ref="CM44:CM45"/>
    <mergeCell ref="CN44:CN45"/>
    <mergeCell ref="CK46:CK47"/>
    <mergeCell ref="CL46:CL47"/>
    <mergeCell ref="CM46:CM47"/>
    <mergeCell ref="CN46:CN47"/>
    <mergeCell ref="CM50:CM51"/>
    <mergeCell ref="CN50:CN51"/>
    <mergeCell ref="CO50:CO51"/>
    <mergeCell ref="A52:A55"/>
    <mergeCell ref="CI52:CI55"/>
    <mergeCell ref="CK53:CO54"/>
    <mergeCell ref="CK55:CO56"/>
    <mergeCell ref="A56:A59"/>
    <mergeCell ref="CI56:CI59"/>
    <mergeCell ref="CK57:CO58"/>
    <mergeCell ref="CK59:CO60"/>
    <mergeCell ref="A60:A63"/>
    <mergeCell ref="CI60:CI63"/>
    <mergeCell ref="CK61:CO62"/>
    <mergeCell ref="CK63:CO64"/>
    <mergeCell ref="A64:A67"/>
    <mergeCell ref="CI64:CI67"/>
    <mergeCell ref="CK65:CO66"/>
    <mergeCell ref="CK67:CO68"/>
    <mergeCell ref="A68:A71"/>
    <mergeCell ref="CI68:CI71"/>
    <mergeCell ref="CK69:CO70"/>
    <mergeCell ref="CK71:CO72"/>
    <mergeCell ref="A72:A75"/>
    <mergeCell ref="CI72:CI75"/>
    <mergeCell ref="CK73:CO74"/>
    <mergeCell ref="CK75:CO76"/>
    <mergeCell ref="A76:A79"/>
    <mergeCell ref="CI76:CI79"/>
    <mergeCell ref="CK77:CO78"/>
    <mergeCell ref="A80:A83"/>
    <mergeCell ref="CI80:CI83"/>
    <mergeCell ref="D84:K84"/>
    <mergeCell ref="L84:M84"/>
    <mergeCell ref="N84:O84"/>
    <mergeCell ref="R84:Y84"/>
    <mergeCell ref="Z84:AA84"/>
    <mergeCell ref="AB84:AC84"/>
    <mergeCell ref="BH84:BO84"/>
    <mergeCell ref="BP84:BQ84"/>
    <mergeCell ref="BR84:BS84"/>
    <mergeCell ref="BV84:CC84"/>
    <mergeCell ref="CD84:CE84"/>
    <mergeCell ref="CF84:CG84"/>
    <mergeCell ref="AF84:AM84"/>
    <mergeCell ref="AN84:AO84"/>
    <mergeCell ref="AP84:AQ84"/>
    <mergeCell ref="AT84:BA84"/>
    <mergeCell ref="BB84:BC84"/>
    <mergeCell ref="BG85:BG86"/>
    <mergeCell ref="R85:Y86"/>
    <mergeCell ref="Z85:AA86"/>
    <mergeCell ref="BD84:BE84"/>
    <mergeCell ref="AB85:AC86"/>
    <mergeCell ref="AE85:AE86"/>
    <mergeCell ref="AF85:AM86"/>
    <mergeCell ref="AN85:AO86"/>
    <mergeCell ref="A85:A92"/>
    <mergeCell ref="C85:C86"/>
    <mergeCell ref="D85:K86"/>
    <mergeCell ref="L85:M86"/>
    <mergeCell ref="N85:O86"/>
    <mergeCell ref="Q85:Q86"/>
    <mergeCell ref="C91:C92"/>
    <mergeCell ref="D91:K92"/>
    <mergeCell ref="L91:M92"/>
    <mergeCell ref="N91:O92"/>
    <mergeCell ref="AS89:AS90"/>
    <mergeCell ref="AT89:BA90"/>
    <mergeCell ref="BB89:BC90"/>
    <mergeCell ref="BD89:BE90"/>
    <mergeCell ref="Q91:Q92"/>
    <mergeCell ref="AP89:AQ90"/>
    <mergeCell ref="AT87:BA88"/>
    <mergeCell ref="CD89:CE90"/>
    <mergeCell ref="CF89:CG90"/>
    <mergeCell ref="CF85:CG86"/>
    <mergeCell ref="CI85:CI92"/>
    <mergeCell ref="C87:C88"/>
    <mergeCell ref="D87:K88"/>
    <mergeCell ref="L87:M88"/>
    <mergeCell ref="N87:O88"/>
    <mergeCell ref="Q87:Q88"/>
    <mergeCell ref="R87:Y88"/>
    <mergeCell ref="Z87:AA88"/>
    <mergeCell ref="AB87:AC88"/>
    <mergeCell ref="BH85:BO86"/>
    <mergeCell ref="BP85:BQ86"/>
    <mergeCell ref="BR85:BS86"/>
    <mergeCell ref="BU85:BU86"/>
    <mergeCell ref="BV85:CC86"/>
    <mergeCell ref="CD85:CE86"/>
    <mergeCell ref="AP85:AQ86"/>
    <mergeCell ref="AS85:AS86"/>
    <mergeCell ref="AT85:BA86"/>
    <mergeCell ref="BB85:BC86"/>
    <mergeCell ref="BD85:BE86"/>
    <mergeCell ref="BP91:BQ92"/>
    <mergeCell ref="BR91:BS92"/>
    <mergeCell ref="BU91:BU92"/>
    <mergeCell ref="BU87:BU88"/>
    <mergeCell ref="BV87:CC88"/>
    <mergeCell ref="CD87:CE88"/>
    <mergeCell ref="CF87:CG88"/>
    <mergeCell ref="C89:C90"/>
    <mergeCell ref="D89:K90"/>
    <mergeCell ref="L89:M90"/>
    <mergeCell ref="N89:O90"/>
    <mergeCell ref="Q89:Q90"/>
    <mergeCell ref="R89:Y90"/>
    <mergeCell ref="BB87:BC88"/>
    <mergeCell ref="BD87:BE88"/>
    <mergeCell ref="BG87:BG88"/>
    <mergeCell ref="BH87:BO88"/>
    <mergeCell ref="BP87:BQ88"/>
    <mergeCell ref="BR87:BS88"/>
    <mergeCell ref="AE87:AE88"/>
    <mergeCell ref="AF87:AM88"/>
    <mergeCell ref="AN87:AO88"/>
    <mergeCell ref="AP87:AQ88"/>
    <mergeCell ref="AS87:AS88"/>
    <mergeCell ref="AN89:AO90"/>
    <mergeCell ref="AE91:AE92"/>
    <mergeCell ref="AF91:AM92"/>
    <mergeCell ref="AT91:BA92"/>
    <mergeCell ref="BB91:BC92"/>
    <mergeCell ref="BD91:BE92"/>
    <mergeCell ref="BH91:BO92"/>
    <mergeCell ref="Z91:AA92"/>
    <mergeCell ref="AB91:AC92"/>
    <mergeCell ref="BG89:BG90"/>
    <mergeCell ref="A93:A96"/>
    <mergeCell ref="C93:F93"/>
    <mergeCell ref="K93:O93"/>
    <mergeCell ref="Q93:X93"/>
    <mergeCell ref="Y93:AC93"/>
    <mergeCell ref="AE93:AL93"/>
    <mergeCell ref="AM93:AQ93"/>
    <mergeCell ref="AS93:AZ93"/>
    <mergeCell ref="BG91:BG92"/>
    <mergeCell ref="AN91:AO92"/>
    <mergeCell ref="AP91:AQ92"/>
    <mergeCell ref="AS91:AS92"/>
    <mergeCell ref="R91:Y92"/>
    <mergeCell ref="CK79:CO96"/>
    <mergeCell ref="C94:F94"/>
    <mergeCell ref="K94:CG94"/>
    <mergeCell ref="C95:F95"/>
    <mergeCell ref="K95:CG95"/>
    <mergeCell ref="C96:CG96"/>
    <mergeCell ref="BA93:BE93"/>
    <mergeCell ref="BG93:BN93"/>
    <mergeCell ref="BO93:BS93"/>
    <mergeCell ref="BU93:CB93"/>
    <mergeCell ref="CC93:CG93"/>
    <mergeCell ref="BP89:BQ90"/>
    <mergeCell ref="BR89:BS90"/>
    <mergeCell ref="BU89:BU90"/>
    <mergeCell ref="BV89:CC90"/>
    <mergeCell ref="CI93:CI96"/>
    <mergeCell ref="CD91:CE92"/>
    <mergeCell ref="CF91:CG92"/>
    <mergeCell ref="BV91:CC92"/>
    <mergeCell ref="BH89:BO90"/>
    <mergeCell ref="Z89:AA90"/>
    <mergeCell ref="AB89:AC90"/>
    <mergeCell ref="AE89:AE90"/>
    <mergeCell ref="AF89:AM90"/>
  </mergeCells>
  <printOptions horizontalCentered="1" verticalCentered="1"/>
  <pageMargins left="0.27559055118110237" right="0.27559055118110237" top="0.31496062992125984" bottom="0.31496062992125984" header="0.31496062992125984" footer="0.31496062992125984"/>
  <pageSetup paperSize="9"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EM96"/>
  <sheetViews>
    <sheetView tabSelected="1" view="pageBreakPreview" zoomScale="80" zoomScaleNormal="100" zoomScaleSheetLayoutView="80" zoomScalePageLayoutView="90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AO67" sqref="AO67"/>
    </sheetView>
  </sheetViews>
  <sheetFormatPr baseColWidth="10" defaultRowHeight="12.75" x14ac:dyDescent="0.2"/>
  <cols>
    <col min="1" max="1" width="5.7109375" style="1" customWidth="1"/>
    <col min="2" max="2" width="0.85546875" style="1" customWidth="1"/>
    <col min="3" max="14" width="3.42578125" style="1" customWidth="1"/>
    <col min="15" max="15" width="3.7109375" style="1" customWidth="1"/>
    <col min="16" max="16" width="0.85546875" style="1" customWidth="1"/>
    <col min="17" max="28" width="3.42578125" style="1" customWidth="1"/>
    <col min="29" max="29" width="3.7109375" style="1" customWidth="1"/>
    <col min="30" max="30" width="0.85546875" style="1" customWidth="1"/>
    <col min="31" max="42" width="3.42578125" style="1" customWidth="1"/>
    <col min="43" max="43" width="3.7109375" style="1" customWidth="1"/>
    <col min="44" max="44" width="0.85546875" style="1" customWidth="1"/>
    <col min="45" max="56" width="3.42578125" style="1" customWidth="1"/>
    <col min="57" max="57" width="3.7109375" style="1" customWidth="1"/>
    <col min="58" max="58" width="0.85546875" style="1" customWidth="1"/>
    <col min="59" max="70" width="3.42578125" style="1" customWidth="1"/>
    <col min="71" max="71" width="3.7109375" style="1" customWidth="1"/>
    <col min="72" max="72" width="0.85546875" style="1" customWidth="1"/>
    <col min="73" max="85" width="3.28515625" style="1" customWidth="1"/>
    <col min="86" max="86" width="0.85546875" style="1" customWidth="1"/>
    <col min="87" max="87" width="5.7109375" style="1" customWidth="1"/>
    <col min="88" max="88" width="0.85546875" style="1" customWidth="1"/>
    <col min="89" max="89" width="2.7109375" style="1" customWidth="1"/>
    <col min="90" max="90" width="3.7109375" style="1" customWidth="1"/>
    <col min="91" max="91" width="18.7109375" style="1" customWidth="1"/>
    <col min="92" max="92" width="11.7109375" style="1" customWidth="1"/>
    <col min="93" max="93" width="4.28515625" style="1" customWidth="1"/>
    <col min="94" max="16384" width="11.42578125" style="1"/>
  </cols>
  <sheetData>
    <row r="1" spans="1:143" ht="18" x14ac:dyDescent="0.25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</row>
    <row r="2" spans="1:143" ht="20.100000000000001" customHeight="1" x14ac:dyDescent="0.25">
      <c r="A2" s="94" t="s">
        <v>99</v>
      </c>
      <c r="B2" s="94"/>
      <c r="C2" s="77"/>
      <c r="D2" s="77"/>
      <c r="E2" s="77"/>
      <c r="F2" s="77"/>
      <c r="G2" s="254" t="s">
        <v>96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  <c r="CG2" s="254"/>
      <c r="CH2" s="254"/>
      <c r="CI2" s="254"/>
      <c r="CJ2" s="254"/>
      <c r="CK2" s="254"/>
      <c r="CL2" s="254"/>
      <c r="CM2" s="254"/>
      <c r="CN2" s="255">
        <f ca="1">TODAY()</f>
        <v>43915</v>
      </c>
      <c r="CO2" s="255"/>
    </row>
    <row r="3" spans="1:143" s="40" customFormat="1" ht="20.100000000000001" customHeight="1" x14ac:dyDescent="0.25">
      <c r="A3" s="80" t="s">
        <v>34</v>
      </c>
      <c r="B3" s="80"/>
      <c r="C3" s="80"/>
      <c r="D3" s="80"/>
      <c r="E3" s="80"/>
      <c r="F3" s="80"/>
      <c r="G3" s="82"/>
      <c r="H3" s="256">
        <v>24</v>
      </c>
      <c r="I3" s="256"/>
      <c r="J3" s="82"/>
      <c r="K3" s="257" t="s">
        <v>94</v>
      </c>
      <c r="L3" s="257"/>
      <c r="M3" s="256">
        <v>1</v>
      </c>
      <c r="N3" s="256"/>
      <c r="O3" s="82"/>
      <c r="P3" s="79"/>
      <c r="Q3" s="82"/>
      <c r="R3" s="82"/>
      <c r="S3" s="80" t="s">
        <v>35</v>
      </c>
      <c r="T3" s="81"/>
      <c r="U3" s="258">
        <v>43990</v>
      </c>
      <c r="V3" s="258"/>
      <c r="W3" s="258"/>
      <c r="X3" s="258"/>
      <c r="Y3" s="258"/>
      <c r="Z3" s="259" t="s">
        <v>36</v>
      </c>
      <c r="AA3" s="259"/>
      <c r="AB3" s="259"/>
      <c r="AC3" s="260">
        <f>U3+6</f>
        <v>43996</v>
      </c>
      <c r="AD3" s="260"/>
      <c r="AE3" s="260"/>
      <c r="AF3" s="260"/>
      <c r="AG3" s="260"/>
      <c r="AH3" s="260"/>
      <c r="AI3" s="73"/>
      <c r="AJ3" s="73"/>
      <c r="AK3" s="74"/>
      <c r="AL3" s="74"/>
      <c r="AM3" s="74"/>
      <c r="AN3" s="75"/>
      <c r="AO3" s="76"/>
      <c r="AP3" s="76"/>
      <c r="AQ3" s="76"/>
      <c r="AR3" s="77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7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5"/>
      <c r="BR3" s="58"/>
      <c r="BS3" s="58"/>
      <c r="BT3" s="77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78"/>
      <c r="CM3" s="78"/>
      <c r="CN3" s="83"/>
      <c r="CO3" s="84" t="s">
        <v>147</v>
      </c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</row>
    <row r="4" spans="1:143" s="40" customFormat="1" ht="5.0999999999999996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6"/>
      <c r="L4" s="97"/>
      <c r="M4" s="97"/>
      <c r="N4" s="95"/>
      <c r="O4" s="95"/>
      <c r="P4" s="98"/>
      <c r="Q4" s="95"/>
      <c r="R4" s="99"/>
      <c r="S4" s="99"/>
      <c r="T4" s="99"/>
      <c r="U4" s="99"/>
      <c r="V4" s="99"/>
      <c r="W4" s="99"/>
      <c r="X4" s="99"/>
      <c r="Y4" s="99"/>
      <c r="Z4" s="100"/>
      <c r="AA4" s="96"/>
      <c r="AB4" s="101"/>
      <c r="AC4" s="101"/>
      <c r="AD4" s="101"/>
      <c r="AE4" s="101"/>
      <c r="AF4" s="101"/>
      <c r="AG4" s="101"/>
      <c r="AH4" s="101"/>
      <c r="AI4" s="101"/>
      <c r="AJ4" s="101"/>
      <c r="AK4" s="95"/>
      <c r="AL4" s="95"/>
      <c r="AM4" s="95"/>
      <c r="AN4" s="102"/>
      <c r="AO4" s="103"/>
      <c r="AP4" s="103"/>
      <c r="AQ4" s="103"/>
      <c r="AR4" s="98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98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2"/>
      <c r="BR4" s="104"/>
      <c r="BS4" s="104"/>
      <c r="BT4" s="98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5"/>
      <c r="CM4" s="105"/>
      <c r="CN4" s="105"/>
      <c r="CO4" s="106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</row>
    <row r="5" spans="1:143" ht="15" customHeight="1" x14ac:dyDescent="0.25">
      <c r="A5" s="248"/>
      <c r="B5" s="43"/>
      <c r="C5" s="250" t="s">
        <v>33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P5" s="70"/>
      <c r="Q5" s="250" t="s">
        <v>93</v>
      </c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2"/>
      <c r="AD5" s="70"/>
      <c r="AE5" s="250" t="s">
        <v>37</v>
      </c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2"/>
      <c r="AR5" s="70"/>
      <c r="AS5" s="250" t="s">
        <v>39</v>
      </c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2"/>
      <c r="BF5" s="70"/>
      <c r="BG5" s="250" t="s">
        <v>40</v>
      </c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2"/>
      <c r="BT5" s="70"/>
      <c r="BU5" s="250" t="s">
        <v>41</v>
      </c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2"/>
      <c r="CH5" s="71"/>
      <c r="CI5" s="248"/>
      <c r="CJ5" s="71"/>
      <c r="CK5" s="187" t="s">
        <v>43</v>
      </c>
      <c r="CL5" s="188"/>
      <c r="CM5" s="188"/>
      <c r="CN5" s="188"/>
      <c r="CO5" s="189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</row>
    <row r="6" spans="1:143" ht="15" customHeight="1" x14ac:dyDescent="0.2">
      <c r="A6" s="249"/>
      <c r="B6" s="90"/>
      <c r="C6" s="261">
        <f>U3</f>
        <v>43990</v>
      </c>
      <c r="D6" s="262"/>
      <c r="E6" s="262"/>
      <c r="F6" s="262"/>
      <c r="G6" s="262"/>
      <c r="H6" s="262"/>
      <c r="I6" s="262"/>
      <c r="J6" s="262"/>
      <c r="K6" s="262"/>
      <c r="L6" s="262"/>
      <c r="M6" s="279"/>
      <c r="N6" s="262"/>
      <c r="O6" s="263"/>
      <c r="P6" s="85"/>
      <c r="Q6" s="261">
        <f>$U$3+1</f>
        <v>43991</v>
      </c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3"/>
      <c r="AD6" s="85"/>
      <c r="AE6" s="261">
        <f>$U$3+2</f>
        <v>43992</v>
      </c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3"/>
      <c r="AR6" s="85"/>
      <c r="AS6" s="261">
        <f>$U$3+3</f>
        <v>43993</v>
      </c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3"/>
      <c r="BF6" s="85"/>
      <c r="BG6" s="261">
        <f>$U$3+4</f>
        <v>43994</v>
      </c>
      <c r="BH6" s="262"/>
      <c r="BI6" s="262"/>
      <c r="BJ6" s="262"/>
      <c r="BK6" s="262"/>
      <c r="BL6" s="262"/>
      <c r="BM6" s="262"/>
      <c r="BN6" s="262"/>
      <c r="BO6" s="262"/>
      <c r="BP6" s="262"/>
      <c r="BQ6" s="262"/>
      <c r="BR6" s="262"/>
      <c r="BS6" s="263"/>
      <c r="BT6" s="85"/>
      <c r="BU6" s="261">
        <f>$U$3+5</f>
        <v>43995</v>
      </c>
      <c r="BV6" s="262"/>
      <c r="BW6" s="262"/>
      <c r="BX6" s="262"/>
      <c r="BY6" s="262"/>
      <c r="BZ6" s="262"/>
      <c r="CA6" s="262"/>
      <c r="CB6" s="262"/>
      <c r="CC6" s="262"/>
      <c r="CD6" s="262"/>
      <c r="CE6" s="262"/>
      <c r="CF6" s="262"/>
      <c r="CG6" s="263"/>
      <c r="CH6" s="58"/>
      <c r="CI6" s="249"/>
      <c r="CJ6" s="58"/>
      <c r="CK6" s="190"/>
      <c r="CL6" s="191"/>
      <c r="CM6" s="191"/>
      <c r="CN6" s="191"/>
      <c r="CO6" s="19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</row>
    <row r="7" spans="1:143" ht="70.5" customHeight="1" x14ac:dyDescent="0.2">
      <c r="A7" s="39" t="s">
        <v>38</v>
      </c>
      <c r="B7" s="90"/>
      <c r="C7" s="240" t="s">
        <v>118</v>
      </c>
      <c r="D7" s="241"/>
      <c r="E7" s="242" t="s">
        <v>115</v>
      </c>
      <c r="F7" s="241"/>
      <c r="G7" s="243" t="s">
        <v>116</v>
      </c>
      <c r="H7" s="241"/>
      <c r="I7" s="242" t="s">
        <v>117</v>
      </c>
      <c r="J7" s="241"/>
      <c r="K7" s="242"/>
      <c r="L7" s="241"/>
      <c r="M7" s="127"/>
      <c r="N7" s="244" t="s">
        <v>1</v>
      </c>
      <c r="O7" s="245"/>
      <c r="P7" s="57"/>
      <c r="Q7" s="240" t="s">
        <v>118</v>
      </c>
      <c r="R7" s="241"/>
      <c r="S7" s="242" t="s">
        <v>115</v>
      </c>
      <c r="T7" s="241"/>
      <c r="U7" s="243" t="s">
        <v>116</v>
      </c>
      <c r="V7" s="241"/>
      <c r="W7" s="242" t="s">
        <v>117</v>
      </c>
      <c r="X7" s="241"/>
      <c r="Y7" s="242"/>
      <c r="Z7" s="241"/>
      <c r="AA7" s="127"/>
      <c r="AB7" s="244" t="s">
        <v>1</v>
      </c>
      <c r="AC7" s="245"/>
      <c r="AD7" s="57"/>
      <c r="AE7" s="240" t="s">
        <v>118</v>
      </c>
      <c r="AF7" s="241"/>
      <c r="AG7" s="242" t="s">
        <v>115</v>
      </c>
      <c r="AH7" s="241"/>
      <c r="AI7" s="243" t="s">
        <v>116</v>
      </c>
      <c r="AJ7" s="241"/>
      <c r="AK7" s="242" t="s">
        <v>117</v>
      </c>
      <c r="AL7" s="241"/>
      <c r="AM7" s="242"/>
      <c r="AN7" s="241"/>
      <c r="AO7" s="127"/>
      <c r="AP7" s="244" t="s">
        <v>1</v>
      </c>
      <c r="AQ7" s="245"/>
      <c r="AR7" s="57"/>
      <c r="AS7" s="240" t="s">
        <v>118</v>
      </c>
      <c r="AT7" s="241"/>
      <c r="AU7" s="242" t="s">
        <v>115</v>
      </c>
      <c r="AV7" s="241"/>
      <c r="AW7" s="243" t="s">
        <v>116</v>
      </c>
      <c r="AX7" s="241"/>
      <c r="AY7" s="242" t="s">
        <v>117</v>
      </c>
      <c r="AZ7" s="241"/>
      <c r="BA7" s="242" t="s">
        <v>209</v>
      </c>
      <c r="BB7" s="241"/>
      <c r="BC7" s="127" t="s">
        <v>179</v>
      </c>
      <c r="BD7" s="244" t="s">
        <v>1</v>
      </c>
      <c r="BE7" s="245"/>
      <c r="BF7" s="57"/>
      <c r="BG7" s="240" t="s">
        <v>118</v>
      </c>
      <c r="BH7" s="241"/>
      <c r="BI7" s="242" t="s">
        <v>115</v>
      </c>
      <c r="BJ7" s="241"/>
      <c r="BK7" s="243" t="s">
        <v>116</v>
      </c>
      <c r="BL7" s="241"/>
      <c r="BM7" s="242" t="s">
        <v>117</v>
      </c>
      <c r="BN7" s="241"/>
      <c r="BO7" s="242" t="s">
        <v>209</v>
      </c>
      <c r="BP7" s="241"/>
      <c r="BQ7" s="127"/>
      <c r="BR7" s="244" t="s">
        <v>1</v>
      </c>
      <c r="BS7" s="245"/>
      <c r="BT7" s="57"/>
      <c r="BU7" s="240" t="s">
        <v>118</v>
      </c>
      <c r="BV7" s="241"/>
      <c r="BW7" s="242" t="s">
        <v>115</v>
      </c>
      <c r="BX7" s="241"/>
      <c r="BY7" s="243" t="s">
        <v>116</v>
      </c>
      <c r="BZ7" s="241"/>
      <c r="CA7" s="242" t="s">
        <v>117</v>
      </c>
      <c r="CB7" s="241"/>
      <c r="CC7" s="242" t="s">
        <v>209</v>
      </c>
      <c r="CD7" s="241"/>
      <c r="CE7" s="127"/>
      <c r="CF7" s="244" t="s">
        <v>1</v>
      </c>
      <c r="CG7" s="245"/>
      <c r="CH7" s="58"/>
      <c r="CI7" s="39" t="s">
        <v>38</v>
      </c>
      <c r="CJ7" s="58"/>
      <c r="CK7" s="228" t="s">
        <v>225</v>
      </c>
      <c r="CL7" s="229"/>
      <c r="CM7" s="229"/>
      <c r="CN7" s="229"/>
      <c r="CO7" s="230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</row>
    <row r="8" spans="1:143" s="4" customFormat="1" ht="11.45" customHeight="1" x14ac:dyDescent="0.2">
      <c r="A8" s="182">
        <v>600</v>
      </c>
      <c r="B8" s="44"/>
      <c r="C8" s="5"/>
      <c r="D8" s="6"/>
      <c r="E8" s="6"/>
      <c r="F8" s="7"/>
      <c r="G8" s="8"/>
      <c r="H8" s="8"/>
      <c r="I8" s="8"/>
      <c r="J8" s="8"/>
      <c r="K8" s="8"/>
      <c r="L8" s="9"/>
      <c r="M8" s="6"/>
      <c r="N8" s="10"/>
      <c r="O8" s="11"/>
      <c r="P8" s="57"/>
      <c r="Q8" s="5"/>
      <c r="R8" s="6"/>
      <c r="S8" s="6"/>
      <c r="T8" s="6"/>
      <c r="U8" s="6"/>
      <c r="V8" s="6"/>
      <c r="W8" s="6"/>
      <c r="X8" s="7"/>
      <c r="Y8" s="8"/>
      <c r="Z8" s="8"/>
      <c r="AA8" s="9"/>
      <c r="AB8" s="10"/>
      <c r="AC8" s="11"/>
      <c r="AD8" s="57"/>
      <c r="AE8" s="5"/>
      <c r="AF8" s="6"/>
      <c r="AG8" s="6"/>
      <c r="AH8" s="6"/>
      <c r="AI8" s="6"/>
      <c r="AJ8" s="6"/>
      <c r="AK8" s="6"/>
      <c r="AL8" s="6"/>
      <c r="AM8" s="7"/>
      <c r="AN8" s="8"/>
      <c r="AO8" s="9"/>
      <c r="AP8" s="10"/>
      <c r="AQ8" s="11"/>
      <c r="AR8" s="57"/>
      <c r="AS8" s="5"/>
      <c r="AT8" s="6"/>
      <c r="AU8" s="6"/>
      <c r="AV8" s="6"/>
      <c r="AW8" s="6"/>
      <c r="AX8" s="6"/>
      <c r="AY8" s="6"/>
      <c r="AZ8" s="7"/>
      <c r="BA8" s="8"/>
      <c r="BB8" s="8"/>
      <c r="BC8" s="9"/>
      <c r="BD8" s="10"/>
      <c r="BE8" s="11"/>
      <c r="BF8" s="57"/>
      <c r="BG8" s="5"/>
      <c r="BH8" s="6"/>
      <c r="BI8" s="6"/>
      <c r="BJ8" s="6"/>
      <c r="BK8" s="6"/>
      <c r="BL8" s="6"/>
      <c r="BM8" s="6"/>
      <c r="BN8" s="6"/>
      <c r="BO8" s="7"/>
      <c r="BP8" s="8"/>
      <c r="BQ8" s="9"/>
      <c r="BR8" s="10"/>
      <c r="BS8" s="11"/>
      <c r="BT8" s="57"/>
      <c r="BU8" s="5"/>
      <c r="BV8" s="6"/>
      <c r="BW8" s="6"/>
      <c r="BX8" s="6"/>
      <c r="BY8" s="6"/>
      <c r="BZ8" s="6"/>
      <c r="CA8" s="6"/>
      <c r="CB8" s="7"/>
      <c r="CC8" s="8"/>
      <c r="CD8" s="8"/>
      <c r="CE8" s="9"/>
      <c r="CF8" s="10"/>
      <c r="CG8" s="11"/>
      <c r="CH8" s="61"/>
      <c r="CI8" s="182">
        <v>600</v>
      </c>
      <c r="CJ8" s="52"/>
      <c r="CK8" s="270" t="s">
        <v>213</v>
      </c>
      <c r="CL8" s="271"/>
      <c r="CM8" s="271"/>
      <c r="CN8" s="271"/>
      <c r="CO8" s="272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</row>
    <row r="9" spans="1:143" s="4" customFormat="1" ht="11.45" customHeight="1" x14ac:dyDescent="0.2">
      <c r="A9" s="182"/>
      <c r="B9" s="44"/>
      <c r="C9" s="12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5"/>
      <c r="P9" s="57"/>
      <c r="Q9" s="12"/>
      <c r="R9" s="13"/>
      <c r="S9" s="13"/>
      <c r="T9" s="13"/>
      <c r="U9" s="13"/>
      <c r="V9" s="13"/>
      <c r="W9" s="13"/>
      <c r="X9" s="14"/>
      <c r="Y9" s="14"/>
      <c r="Z9" s="14"/>
      <c r="AA9" s="14"/>
      <c r="AB9" s="14"/>
      <c r="AC9" s="15"/>
      <c r="AD9" s="57"/>
      <c r="AE9" s="12"/>
      <c r="AF9" s="13"/>
      <c r="AG9" s="13"/>
      <c r="AH9" s="13"/>
      <c r="AI9" s="13"/>
      <c r="AJ9" s="13"/>
      <c r="AK9" s="13"/>
      <c r="AL9" s="13"/>
      <c r="AM9" s="14"/>
      <c r="AN9" s="14"/>
      <c r="AO9" s="14"/>
      <c r="AP9" s="14"/>
      <c r="AQ9" s="15"/>
      <c r="AR9" s="57"/>
      <c r="AS9" s="12"/>
      <c r="AT9" s="13"/>
      <c r="AU9" s="13"/>
      <c r="AV9" s="13"/>
      <c r="AW9" s="13"/>
      <c r="AX9" s="13"/>
      <c r="AY9" s="13"/>
      <c r="AZ9" s="14"/>
      <c r="BA9" s="14"/>
      <c r="BB9" s="14"/>
      <c r="BC9" s="14"/>
      <c r="BD9" s="14"/>
      <c r="BE9" s="15"/>
      <c r="BF9" s="57"/>
      <c r="BG9" s="12"/>
      <c r="BH9" s="13"/>
      <c r="BI9" s="13"/>
      <c r="BJ9" s="13"/>
      <c r="BK9" s="13"/>
      <c r="BL9" s="13"/>
      <c r="BM9" s="13"/>
      <c r="BN9" s="13"/>
      <c r="BO9" s="14"/>
      <c r="BP9" s="14"/>
      <c r="BQ9" s="14"/>
      <c r="BR9" s="14"/>
      <c r="BS9" s="15"/>
      <c r="BT9" s="57"/>
      <c r="BU9" s="12"/>
      <c r="BV9" s="13"/>
      <c r="BW9" s="13"/>
      <c r="BX9" s="13"/>
      <c r="BY9" s="13"/>
      <c r="BZ9" s="13"/>
      <c r="CA9" s="13"/>
      <c r="CB9" s="14"/>
      <c r="CC9" s="14"/>
      <c r="CD9" s="14"/>
      <c r="CE9" s="14"/>
      <c r="CF9" s="14"/>
      <c r="CG9" s="15"/>
      <c r="CH9" s="61"/>
      <c r="CI9" s="182"/>
      <c r="CJ9" s="52"/>
      <c r="CK9" s="273"/>
      <c r="CL9" s="274"/>
      <c r="CM9" s="274"/>
      <c r="CN9" s="274"/>
      <c r="CO9" s="275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</row>
    <row r="10" spans="1:143" s="4" customFormat="1" ht="11.45" customHeight="1" x14ac:dyDescent="0.2">
      <c r="A10" s="182"/>
      <c r="B10" s="44"/>
      <c r="C10" s="5"/>
      <c r="D10" s="6"/>
      <c r="E10" s="6"/>
      <c r="F10" s="7"/>
      <c r="G10" s="8"/>
      <c r="H10" s="8"/>
      <c r="I10" s="8"/>
      <c r="J10" s="8"/>
      <c r="K10" s="8"/>
      <c r="L10" s="9"/>
      <c r="M10" s="9"/>
      <c r="N10" s="10"/>
      <c r="O10" s="11"/>
      <c r="P10" s="57"/>
      <c r="Q10" s="5"/>
      <c r="R10" s="6"/>
      <c r="S10" s="6"/>
      <c r="T10" s="6"/>
      <c r="U10" s="6"/>
      <c r="V10" s="6"/>
      <c r="W10" s="6"/>
      <c r="X10" s="7"/>
      <c r="Y10" s="8"/>
      <c r="Z10" s="8"/>
      <c r="AA10" s="9"/>
      <c r="AB10" s="10"/>
      <c r="AC10" s="11"/>
      <c r="AD10" s="57"/>
      <c r="AE10" s="5"/>
      <c r="AF10" s="6"/>
      <c r="AG10" s="6"/>
      <c r="AH10" s="6"/>
      <c r="AI10" s="6"/>
      <c r="AJ10" s="6"/>
      <c r="AK10" s="6"/>
      <c r="AL10" s="6"/>
      <c r="AM10" s="7"/>
      <c r="AN10" s="8"/>
      <c r="AO10" s="9"/>
      <c r="AP10" s="10"/>
      <c r="AQ10" s="11"/>
      <c r="AR10" s="57"/>
      <c r="AS10" s="5"/>
      <c r="AT10" s="6"/>
      <c r="AU10" s="6"/>
      <c r="AV10" s="6"/>
      <c r="AW10" s="6"/>
      <c r="AX10" s="6"/>
      <c r="AY10" s="6"/>
      <c r="AZ10" s="7"/>
      <c r="BA10" s="8"/>
      <c r="BB10" s="8"/>
      <c r="BC10" s="9"/>
      <c r="BD10" s="10"/>
      <c r="BE10" s="11"/>
      <c r="BF10" s="57"/>
      <c r="BG10" s="5"/>
      <c r="BH10" s="6"/>
      <c r="BI10" s="6"/>
      <c r="BJ10" s="6"/>
      <c r="BK10" s="6"/>
      <c r="BL10" s="6"/>
      <c r="BM10" s="6"/>
      <c r="BN10" s="6"/>
      <c r="BO10" s="7"/>
      <c r="BP10" s="8"/>
      <c r="BQ10" s="9"/>
      <c r="BR10" s="10"/>
      <c r="BS10" s="11"/>
      <c r="BT10" s="57"/>
      <c r="BU10" s="5"/>
      <c r="BV10" s="6"/>
      <c r="BW10" s="6"/>
      <c r="BX10" s="6"/>
      <c r="BY10" s="6"/>
      <c r="BZ10" s="6"/>
      <c r="CA10" s="6"/>
      <c r="CB10" s="7"/>
      <c r="CC10" s="8"/>
      <c r="CD10" s="8"/>
      <c r="CE10" s="9"/>
      <c r="CF10" s="10"/>
      <c r="CG10" s="11"/>
      <c r="CH10" s="61"/>
      <c r="CI10" s="182"/>
      <c r="CJ10" s="52"/>
      <c r="CK10" s="273"/>
      <c r="CL10" s="274"/>
      <c r="CM10" s="274"/>
      <c r="CN10" s="274"/>
      <c r="CO10" s="275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</row>
    <row r="11" spans="1:143" s="4" customFormat="1" ht="11.45" customHeight="1" x14ac:dyDescent="0.2">
      <c r="A11" s="182"/>
      <c r="B11" s="44"/>
      <c r="C11" s="12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57"/>
      <c r="Q11" s="12"/>
      <c r="R11" s="13"/>
      <c r="S11" s="13"/>
      <c r="T11" s="13"/>
      <c r="U11" s="13"/>
      <c r="V11" s="13"/>
      <c r="W11" s="13"/>
      <c r="X11" s="14"/>
      <c r="Y11" s="14"/>
      <c r="Z11" s="14"/>
      <c r="AA11" s="14"/>
      <c r="AB11" s="14"/>
      <c r="AC11" s="15"/>
      <c r="AD11" s="57"/>
      <c r="AE11" s="12"/>
      <c r="AF11" s="13"/>
      <c r="AG11" s="13"/>
      <c r="AH11" s="13"/>
      <c r="AI11" s="13"/>
      <c r="AJ11" s="13"/>
      <c r="AK11" s="13"/>
      <c r="AL11" s="13"/>
      <c r="AM11" s="14"/>
      <c r="AN11" s="14"/>
      <c r="AO11" s="14"/>
      <c r="AP11" s="14"/>
      <c r="AQ11" s="15"/>
      <c r="AR11" s="57"/>
      <c r="AS11" s="12"/>
      <c r="AT11" s="13"/>
      <c r="AU11" s="13"/>
      <c r="AV11" s="13"/>
      <c r="AW11" s="13"/>
      <c r="AX11" s="13"/>
      <c r="AY11" s="13"/>
      <c r="AZ11" s="14"/>
      <c r="BA11" s="14"/>
      <c r="BB11" s="14"/>
      <c r="BC11" s="14"/>
      <c r="BD11" s="14"/>
      <c r="BE11" s="15"/>
      <c r="BF11" s="57"/>
      <c r="BG11" s="12"/>
      <c r="BH11" s="13"/>
      <c r="BI11" s="13"/>
      <c r="BJ11" s="13"/>
      <c r="BK11" s="13"/>
      <c r="BL11" s="13"/>
      <c r="BM11" s="13"/>
      <c r="BN11" s="13"/>
      <c r="BO11" s="14"/>
      <c r="BP11" s="14"/>
      <c r="BQ11" s="14"/>
      <c r="BR11" s="14"/>
      <c r="BS11" s="15"/>
      <c r="BT11" s="57"/>
      <c r="BU11" s="12"/>
      <c r="BV11" s="13"/>
      <c r="BW11" s="13"/>
      <c r="BX11" s="13"/>
      <c r="BY11" s="13"/>
      <c r="BZ11" s="13"/>
      <c r="CA11" s="13"/>
      <c r="CB11" s="14"/>
      <c r="CC11" s="14"/>
      <c r="CD11" s="14"/>
      <c r="CE11" s="14"/>
      <c r="CF11" s="14"/>
      <c r="CG11" s="15"/>
      <c r="CH11" s="61"/>
      <c r="CI11" s="182"/>
      <c r="CJ11" s="52"/>
      <c r="CK11" s="276"/>
      <c r="CL11" s="277"/>
      <c r="CM11" s="277"/>
      <c r="CN11" s="277"/>
      <c r="CO11" s="278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1:143" s="4" customFormat="1" ht="11.45" customHeight="1" x14ac:dyDescent="0.2">
      <c r="A12" s="182">
        <v>700</v>
      </c>
      <c r="B12" s="44"/>
      <c r="C12" s="5"/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57"/>
      <c r="Q12" s="5"/>
      <c r="R12" s="9"/>
      <c r="S12" s="9"/>
      <c r="T12" s="9"/>
      <c r="U12" s="9"/>
      <c r="V12" s="9"/>
      <c r="W12" s="9"/>
      <c r="X12" s="10"/>
      <c r="Y12" s="10"/>
      <c r="Z12" s="10"/>
      <c r="AA12" s="10"/>
      <c r="AB12" s="10"/>
      <c r="AC12" s="11"/>
      <c r="AD12" s="57"/>
      <c r="AE12" s="5"/>
      <c r="AF12" s="9"/>
      <c r="AG12" s="9"/>
      <c r="AH12" s="9"/>
      <c r="AI12" s="9"/>
      <c r="AJ12" s="9"/>
      <c r="AK12" s="9"/>
      <c r="AL12" s="9"/>
      <c r="AM12" s="10"/>
      <c r="AN12" s="10"/>
      <c r="AO12" s="10"/>
      <c r="AP12" s="10"/>
      <c r="AQ12" s="11"/>
      <c r="AR12" s="57"/>
      <c r="AS12" s="5"/>
      <c r="AT12" s="9"/>
      <c r="AU12" s="9"/>
      <c r="AV12" s="9"/>
      <c r="AW12" s="9"/>
      <c r="AX12" s="9"/>
      <c r="AY12" s="9"/>
      <c r="AZ12" s="10"/>
      <c r="BA12" s="10"/>
      <c r="BB12" s="10"/>
      <c r="BC12" s="10"/>
      <c r="BD12" s="10"/>
      <c r="BE12" s="11"/>
      <c r="BF12" s="57"/>
      <c r="BG12" s="5"/>
      <c r="BH12" s="9"/>
      <c r="BI12" s="9"/>
      <c r="BJ12" s="9"/>
      <c r="BK12" s="9"/>
      <c r="BL12" s="9"/>
      <c r="BM12" s="9"/>
      <c r="BN12" s="9"/>
      <c r="BO12" s="10"/>
      <c r="BP12" s="10"/>
      <c r="BQ12" s="10"/>
      <c r="BR12" s="10"/>
      <c r="BS12" s="11"/>
      <c r="BT12" s="57"/>
      <c r="BU12" s="5"/>
      <c r="BV12" s="9"/>
      <c r="BW12" s="9"/>
      <c r="BX12" s="9"/>
      <c r="BY12" s="9"/>
      <c r="BZ12" s="9"/>
      <c r="CA12" s="9"/>
      <c r="CB12" s="10"/>
      <c r="CC12" s="10"/>
      <c r="CD12" s="10"/>
      <c r="CE12" s="10"/>
      <c r="CF12" s="10"/>
      <c r="CG12" s="11"/>
      <c r="CH12" s="61"/>
      <c r="CI12" s="182">
        <v>700</v>
      </c>
      <c r="CJ12" s="52"/>
      <c r="CK12" s="270" t="s">
        <v>181</v>
      </c>
      <c r="CL12" s="271"/>
      <c r="CM12" s="271"/>
      <c r="CN12" s="271"/>
      <c r="CO12" s="272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 s="4" customFormat="1" ht="11.45" customHeight="1" x14ac:dyDescent="0.2">
      <c r="A13" s="182"/>
      <c r="B13" s="44"/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4"/>
      <c r="O13" s="15"/>
      <c r="P13" s="57"/>
      <c r="Q13" s="12"/>
      <c r="R13" s="17"/>
      <c r="S13" s="17"/>
      <c r="T13" s="17"/>
      <c r="U13" s="17"/>
      <c r="V13" s="17"/>
      <c r="W13" s="17"/>
      <c r="X13" s="18"/>
      <c r="Y13" s="18"/>
      <c r="Z13" s="10"/>
      <c r="AA13" s="18"/>
      <c r="AB13" s="14"/>
      <c r="AC13" s="15"/>
      <c r="AD13" s="57"/>
      <c r="AE13" s="12"/>
      <c r="AF13" s="17"/>
      <c r="AG13" s="17"/>
      <c r="AH13" s="17"/>
      <c r="AI13" s="17"/>
      <c r="AJ13" s="17"/>
      <c r="AK13" s="17"/>
      <c r="AL13" s="17"/>
      <c r="AM13" s="18"/>
      <c r="AN13" s="18"/>
      <c r="AO13" s="18"/>
      <c r="AP13" s="18"/>
      <c r="AQ13" s="15"/>
      <c r="AR13" s="57"/>
      <c r="AS13" s="16"/>
      <c r="AT13" s="17"/>
      <c r="AU13" s="17"/>
      <c r="AV13" s="17"/>
      <c r="AW13" s="17"/>
      <c r="AX13" s="17"/>
      <c r="AY13" s="17"/>
      <c r="AZ13" s="18"/>
      <c r="BA13" s="18"/>
      <c r="BB13" s="18"/>
      <c r="BC13" s="18"/>
      <c r="BD13" s="18"/>
      <c r="BE13" s="15"/>
      <c r="BF13" s="57"/>
      <c r="BG13" s="16"/>
      <c r="BH13" s="17"/>
      <c r="BI13" s="17"/>
      <c r="BJ13" s="17"/>
      <c r="BK13" s="17"/>
      <c r="BL13" s="17"/>
      <c r="BM13" s="17"/>
      <c r="BN13" s="17"/>
      <c r="BO13" s="18"/>
      <c r="BP13" s="18"/>
      <c r="BQ13" s="18"/>
      <c r="BR13" s="18"/>
      <c r="BS13" s="15"/>
      <c r="BT13" s="57"/>
      <c r="BU13" s="16"/>
      <c r="BV13" s="17"/>
      <c r="BW13" s="17"/>
      <c r="BX13" s="17"/>
      <c r="BY13" s="17"/>
      <c r="BZ13" s="17"/>
      <c r="CA13" s="17"/>
      <c r="CB13" s="18"/>
      <c r="CC13" s="18"/>
      <c r="CD13" s="18"/>
      <c r="CE13" s="18"/>
      <c r="CF13" s="18"/>
      <c r="CG13" s="15"/>
      <c r="CH13" s="61"/>
      <c r="CI13" s="182"/>
      <c r="CJ13" s="52"/>
      <c r="CK13" s="273"/>
      <c r="CL13" s="274"/>
      <c r="CM13" s="274"/>
      <c r="CN13" s="274"/>
      <c r="CO13" s="275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 s="4" customFormat="1" ht="11.45" customHeight="1" x14ac:dyDescent="0.2">
      <c r="A14" s="182"/>
      <c r="B14" s="44"/>
      <c r="C14" s="19"/>
      <c r="D14" s="20"/>
      <c r="E14" s="20"/>
      <c r="F14" s="21"/>
      <c r="G14" s="21"/>
      <c r="H14" s="21"/>
      <c r="I14" s="21"/>
      <c r="J14" s="21"/>
      <c r="K14" s="21"/>
      <c r="L14" s="21"/>
      <c r="M14" s="21"/>
      <c r="N14" s="10"/>
      <c r="O14" s="11"/>
      <c r="P14" s="57"/>
      <c r="Q14" s="5"/>
      <c r="R14" s="20"/>
      <c r="S14" s="9"/>
      <c r="T14" s="9"/>
      <c r="U14" s="9"/>
      <c r="V14" s="9"/>
      <c r="W14" s="9"/>
      <c r="X14" s="10"/>
      <c r="Y14" s="10"/>
      <c r="Z14" s="10"/>
      <c r="AA14" s="10"/>
      <c r="AB14" s="10"/>
      <c r="AC14" s="11"/>
      <c r="AD14" s="57"/>
      <c r="AE14" s="5"/>
      <c r="AF14" s="20"/>
      <c r="AG14" s="20"/>
      <c r="AH14" s="20"/>
      <c r="AI14" s="20"/>
      <c r="AJ14" s="20"/>
      <c r="AK14" s="20"/>
      <c r="AL14" s="20"/>
      <c r="AM14" s="21"/>
      <c r="AN14" s="21"/>
      <c r="AO14" s="21"/>
      <c r="AP14" s="21"/>
      <c r="AQ14" s="11"/>
      <c r="AR14" s="57"/>
      <c r="AS14" s="19"/>
      <c r="AT14" s="20"/>
      <c r="AU14" s="20"/>
      <c r="AV14" s="20"/>
      <c r="AW14" s="20"/>
      <c r="AX14" s="20"/>
      <c r="AY14" s="20"/>
      <c r="AZ14" s="21"/>
      <c r="BA14" s="21"/>
      <c r="BB14" s="21"/>
      <c r="BC14" s="21"/>
      <c r="BD14" s="21"/>
      <c r="BE14" s="11"/>
      <c r="BF14" s="57"/>
      <c r="BG14" s="19"/>
      <c r="BH14" s="20"/>
      <c r="BI14" s="20"/>
      <c r="BJ14" s="20"/>
      <c r="BK14" s="20"/>
      <c r="BL14" s="20"/>
      <c r="BM14" s="20"/>
      <c r="BN14" s="20"/>
      <c r="BO14" s="21"/>
      <c r="BP14" s="21"/>
      <c r="BQ14" s="21"/>
      <c r="BR14" s="21"/>
      <c r="BS14" s="11"/>
      <c r="BT14" s="57"/>
      <c r="BU14" s="19"/>
      <c r="BV14" s="20"/>
      <c r="BW14" s="20"/>
      <c r="BX14" s="20"/>
      <c r="BY14" s="20"/>
      <c r="BZ14" s="20"/>
      <c r="CA14" s="20"/>
      <c r="CB14" s="21"/>
      <c r="CC14" s="21"/>
      <c r="CD14" s="21"/>
      <c r="CE14" s="21"/>
      <c r="CF14" s="21"/>
      <c r="CG14" s="11"/>
      <c r="CH14" s="61"/>
      <c r="CI14" s="182"/>
      <c r="CJ14" s="52"/>
      <c r="CK14" s="273"/>
      <c r="CL14" s="274"/>
      <c r="CM14" s="274"/>
      <c r="CN14" s="274"/>
      <c r="CO14" s="275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 s="4" customFormat="1" ht="11.45" customHeight="1" x14ac:dyDescent="0.2">
      <c r="A15" s="182"/>
      <c r="B15" s="44"/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4"/>
      <c r="O15" s="15"/>
      <c r="P15" s="57"/>
      <c r="Q15" s="12"/>
      <c r="R15" s="17"/>
      <c r="S15" s="13"/>
      <c r="T15" s="13"/>
      <c r="U15" s="13"/>
      <c r="V15" s="13"/>
      <c r="W15" s="13"/>
      <c r="X15" s="14"/>
      <c r="Y15" s="14"/>
      <c r="Z15" s="10"/>
      <c r="AA15" s="18"/>
      <c r="AB15" s="14"/>
      <c r="AC15" s="15"/>
      <c r="AD15" s="57"/>
      <c r="AE15" s="12"/>
      <c r="AF15" s="17"/>
      <c r="AG15" s="17"/>
      <c r="AH15" s="17"/>
      <c r="AI15" s="17"/>
      <c r="AJ15" s="17"/>
      <c r="AK15" s="17"/>
      <c r="AL15" s="17"/>
      <c r="AM15" s="18"/>
      <c r="AN15" s="18"/>
      <c r="AO15" s="18"/>
      <c r="AP15" s="18"/>
      <c r="AQ15" s="15"/>
      <c r="AR15" s="57"/>
      <c r="AS15" s="16"/>
      <c r="AT15" s="17"/>
      <c r="AU15" s="17"/>
      <c r="AV15" s="17"/>
      <c r="AW15" s="17"/>
      <c r="AX15" s="17"/>
      <c r="AY15" s="17"/>
      <c r="AZ15" s="18"/>
      <c r="BA15" s="18"/>
      <c r="BB15" s="18"/>
      <c r="BC15" s="18"/>
      <c r="BD15" s="18"/>
      <c r="BE15" s="15"/>
      <c r="BF15" s="57"/>
      <c r="BG15" s="16"/>
      <c r="BH15" s="17"/>
      <c r="BI15" s="17"/>
      <c r="BJ15" s="17"/>
      <c r="BK15" s="17"/>
      <c r="BL15" s="17"/>
      <c r="BM15" s="17"/>
      <c r="BN15" s="17"/>
      <c r="BO15" s="18"/>
      <c r="BP15" s="18"/>
      <c r="BQ15" s="18"/>
      <c r="BR15" s="18"/>
      <c r="BS15" s="15"/>
      <c r="BT15" s="57"/>
      <c r="BU15" s="16"/>
      <c r="BV15" s="17"/>
      <c r="BW15" s="17"/>
      <c r="BX15" s="17"/>
      <c r="BY15" s="17"/>
      <c r="BZ15" s="17"/>
      <c r="CA15" s="17"/>
      <c r="CB15" s="18"/>
      <c r="CC15" s="18"/>
      <c r="CD15" s="18"/>
      <c r="CE15" s="18"/>
      <c r="CF15" s="18"/>
      <c r="CG15" s="15"/>
      <c r="CH15" s="61"/>
      <c r="CI15" s="182"/>
      <c r="CJ15" s="52"/>
      <c r="CK15" s="276"/>
      <c r="CL15" s="277"/>
      <c r="CM15" s="277"/>
      <c r="CN15" s="277"/>
      <c r="CO15" s="278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 s="4" customFormat="1" ht="11.45" customHeight="1" x14ac:dyDescent="0.2">
      <c r="A16" s="182">
        <v>800</v>
      </c>
      <c r="B16" s="44"/>
      <c r="C16" s="5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57"/>
      <c r="Q16" s="5"/>
      <c r="R16" s="6"/>
      <c r="S16" s="9"/>
      <c r="T16" s="9"/>
      <c r="U16" s="9"/>
      <c r="V16" s="9"/>
      <c r="W16" s="9"/>
      <c r="X16" s="9"/>
      <c r="Y16" s="9"/>
      <c r="Z16" s="10"/>
      <c r="AA16" s="9"/>
      <c r="AB16" s="10"/>
      <c r="AC16" s="11"/>
      <c r="AD16" s="57"/>
      <c r="AE16" s="5"/>
      <c r="AF16" s="9"/>
      <c r="AG16" s="9"/>
      <c r="AH16" s="9"/>
      <c r="AI16" s="9"/>
      <c r="AJ16" s="9"/>
      <c r="AK16" s="9"/>
      <c r="AL16" s="9"/>
      <c r="AM16" s="10"/>
      <c r="AN16" s="10"/>
      <c r="AO16" s="10"/>
      <c r="AP16" s="10"/>
      <c r="AQ16" s="11"/>
      <c r="AR16" s="57"/>
      <c r="AS16" s="5"/>
      <c r="AT16" s="9"/>
      <c r="AU16" s="9"/>
      <c r="AV16" s="9"/>
      <c r="AW16" s="9"/>
      <c r="AX16" s="9"/>
      <c r="AY16" s="9"/>
      <c r="AZ16" s="10"/>
      <c r="BA16" s="10"/>
      <c r="BB16" s="10"/>
      <c r="BC16" s="10"/>
      <c r="BD16" s="10"/>
      <c r="BE16" s="11"/>
      <c r="BF16" s="57"/>
      <c r="BG16" s="5"/>
      <c r="BH16" s="9"/>
      <c r="BI16" s="9"/>
      <c r="BJ16" s="9"/>
      <c r="BK16" s="9"/>
      <c r="BL16" s="9"/>
      <c r="BM16" s="9"/>
      <c r="BN16" s="9"/>
      <c r="BO16" s="10"/>
      <c r="BP16" s="10"/>
      <c r="BQ16" s="10"/>
      <c r="BR16" s="10"/>
      <c r="BS16" s="11"/>
      <c r="BT16" s="57"/>
      <c r="BU16" s="5"/>
      <c r="BV16" s="9"/>
      <c r="BW16" s="9"/>
      <c r="BX16" s="9"/>
      <c r="BY16" s="9"/>
      <c r="BZ16" s="9"/>
      <c r="CA16" s="9"/>
      <c r="CB16" s="10"/>
      <c r="CC16" s="10"/>
      <c r="CD16" s="10"/>
      <c r="CE16" s="10"/>
      <c r="CF16" s="10"/>
      <c r="CG16" s="11"/>
      <c r="CH16" s="61"/>
      <c r="CI16" s="182">
        <v>800</v>
      </c>
      <c r="CJ16" s="52"/>
      <c r="CK16" s="187" t="s">
        <v>44</v>
      </c>
      <c r="CL16" s="188"/>
      <c r="CM16" s="188"/>
      <c r="CN16" s="188"/>
      <c r="CO16" s="189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1:143" s="4" customFormat="1" ht="11.45" customHeight="1" x14ac:dyDescent="0.2">
      <c r="A17" s="182"/>
      <c r="B17" s="44"/>
      <c r="C17" s="12"/>
      <c r="D17" s="13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57"/>
      <c r="Q17" s="12"/>
      <c r="R17" s="13"/>
      <c r="S17" s="13"/>
      <c r="T17" s="13"/>
      <c r="U17" s="13"/>
      <c r="V17" s="13"/>
      <c r="W17" s="13"/>
      <c r="X17" s="13"/>
      <c r="Y17" s="13"/>
      <c r="Z17" s="10"/>
      <c r="AA17" s="14"/>
      <c r="AB17" s="14"/>
      <c r="AC17" s="15"/>
      <c r="AD17" s="57"/>
      <c r="AE17" s="12"/>
      <c r="AF17" s="13"/>
      <c r="AG17" s="13"/>
      <c r="AH17" s="13"/>
      <c r="AI17" s="13"/>
      <c r="AJ17" s="13"/>
      <c r="AK17" s="13"/>
      <c r="AL17" s="13"/>
      <c r="AM17" s="14"/>
      <c r="AN17" s="14"/>
      <c r="AO17" s="14"/>
      <c r="AP17" s="14"/>
      <c r="AQ17" s="15"/>
      <c r="AR17" s="57"/>
      <c r="AS17" s="12"/>
      <c r="AT17" s="13"/>
      <c r="AU17" s="13"/>
      <c r="AV17" s="13"/>
      <c r="AW17" s="13"/>
      <c r="AX17" s="13"/>
      <c r="AY17" s="13"/>
      <c r="AZ17" s="14"/>
      <c r="BA17" s="14"/>
      <c r="BB17" s="14"/>
      <c r="BC17" s="14"/>
      <c r="BD17" s="14"/>
      <c r="BE17" s="15"/>
      <c r="BF17" s="57"/>
      <c r="BG17" s="12"/>
      <c r="BH17" s="13"/>
      <c r="BI17" s="13"/>
      <c r="BJ17" s="13"/>
      <c r="BK17" s="13"/>
      <c r="BL17" s="13"/>
      <c r="BM17" s="13"/>
      <c r="BN17" s="13"/>
      <c r="BO17" s="14"/>
      <c r="BP17" s="14"/>
      <c r="BQ17" s="14"/>
      <c r="BR17" s="14"/>
      <c r="BS17" s="15"/>
      <c r="BT17" s="57"/>
      <c r="BU17" s="12"/>
      <c r="BV17" s="13"/>
      <c r="BW17" s="13"/>
      <c r="BX17" s="13"/>
      <c r="BY17" s="13"/>
      <c r="BZ17" s="13"/>
      <c r="CA17" s="13"/>
      <c r="CB17" s="14"/>
      <c r="CC17" s="14"/>
      <c r="CD17" s="14"/>
      <c r="CE17" s="14"/>
      <c r="CF17" s="14"/>
      <c r="CG17" s="15"/>
      <c r="CH17" s="61"/>
      <c r="CI17" s="182"/>
      <c r="CJ17" s="52"/>
      <c r="CK17" s="190"/>
      <c r="CL17" s="191"/>
      <c r="CM17" s="191"/>
      <c r="CN17" s="191"/>
      <c r="CO17" s="192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1:143" s="4" customFormat="1" ht="11.45" customHeight="1" x14ac:dyDescent="0.2">
      <c r="A18" s="182"/>
      <c r="B18" s="44"/>
      <c r="C18" s="5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57"/>
      <c r="Q18" s="5"/>
      <c r="R18" s="6"/>
      <c r="S18" s="9"/>
      <c r="T18" s="9"/>
      <c r="U18" s="9"/>
      <c r="V18" s="9"/>
      <c r="W18" s="9"/>
      <c r="X18" s="10"/>
      <c r="Y18" s="10"/>
      <c r="Z18" s="10"/>
      <c r="AA18" s="9"/>
      <c r="AB18" s="10"/>
      <c r="AC18" s="11"/>
      <c r="AD18" s="57"/>
      <c r="AE18" s="5"/>
      <c r="AF18" s="9"/>
      <c r="AG18" s="9"/>
      <c r="AH18" s="9"/>
      <c r="AI18" s="9"/>
      <c r="AJ18" s="9"/>
      <c r="AK18" s="9"/>
      <c r="AL18" s="9"/>
      <c r="AM18" s="10"/>
      <c r="AN18" s="10"/>
      <c r="AO18" s="10"/>
      <c r="AP18" s="10"/>
      <c r="AQ18" s="11"/>
      <c r="AR18" s="57"/>
      <c r="AS18" s="5"/>
      <c r="AT18" s="9"/>
      <c r="AU18" s="9"/>
      <c r="AV18" s="9"/>
      <c r="AW18" s="9"/>
      <c r="AX18" s="9"/>
      <c r="AY18" s="9"/>
      <c r="AZ18" s="10"/>
      <c r="BA18" s="10"/>
      <c r="BB18" s="10"/>
      <c r="BC18" s="10"/>
      <c r="BD18" s="10"/>
      <c r="BE18" s="11"/>
      <c r="BF18" s="57"/>
      <c r="BG18" s="5"/>
      <c r="BH18" s="9"/>
      <c r="BI18" s="9"/>
      <c r="BJ18" s="9"/>
      <c r="BK18" s="9"/>
      <c r="BL18" s="9"/>
      <c r="BM18" s="9"/>
      <c r="BN18" s="9"/>
      <c r="BO18" s="10"/>
      <c r="BP18" s="10"/>
      <c r="BQ18" s="10"/>
      <c r="BR18" s="10"/>
      <c r="BS18" s="11"/>
      <c r="BT18" s="57"/>
      <c r="BU18" s="5"/>
      <c r="BV18" s="9"/>
      <c r="BW18" s="9"/>
      <c r="BX18" s="9"/>
      <c r="BY18" s="9"/>
      <c r="BZ18" s="9"/>
      <c r="CA18" s="9"/>
      <c r="CB18" s="10"/>
      <c r="CC18" s="10"/>
      <c r="CD18" s="10"/>
      <c r="CE18" s="10"/>
      <c r="CF18" s="10"/>
      <c r="CG18" s="11"/>
      <c r="CH18" s="61"/>
      <c r="CI18" s="182"/>
      <c r="CJ18" s="52"/>
      <c r="CK18" s="220" t="s">
        <v>45</v>
      </c>
      <c r="CL18" s="222" t="s">
        <v>0</v>
      </c>
      <c r="CM18" s="224" t="s">
        <v>46</v>
      </c>
      <c r="CN18" s="224" t="s">
        <v>47</v>
      </c>
      <c r="CO18" s="226" t="s">
        <v>49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1:143" s="4" customFormat="1" ht="11.45" customHeight="1" x14ac:dyDescent="0.2">
      <c r="A19" s="182"/>
      <c r="B19" s="44"/>
      <c r="C19" s="12"/>
      <c r="D19" s="13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57"/>
      <c r="Q19" s="12"/>
      <c r="R19" s="13"/>
      <c r="S19" s="13"/>
      <c r="T19" s="13"/>
      <c r="U19" s="13"/>
      <c r="V19" s="13"/>
      <c r="W19" s="13"/>
      <c r="X19" s="14"/>
      <c r="Y19" s="14"/>
      <c r="Z19" s="14"/>
      <c r="AA19" s="14"/>
      <c r="AB19" s="14"/>
      <c r="AC19" s="15"/>
      <c r="AD19" s="57"/>
      <c r="AE19" s="12"/>
      <c r="AF19" s="13"/>
      <c r="AG19" s="13"/>
      <c r="AH19" s="13"/>
      <c r="AI19" s="13"/>
      <c r="AJ19" s="13"/>
      <c r="AK19" s="13"/>
      <c r="AL19" s="13"/>
      <c r="AM19" s="14"/>
      <c r="AN19" s="14"/>
      <c r="AO19" s="14"/>
      <c r="AP19" s="14"/>
      <c r="AQ19" s="15"/>
      <c r="AR19" s="57"/>
      <c r="AS19" s="12"/>
      <c r="AT19" s="13"/>
      <c r="AU19" s="13"/>
      <c r="AV19" s="13"/>
      <c r="AW19" s="13"/>
      <c r="AX19" s="13"/>
      <c r="AY19" s="13"/>
      <c r="AZ19" s="14"/>
      <c r="BA19" s="14"/>
      <c r="BB19" s="14"/>
      <c r="BC19" s="14"/>
      <c r="BD19" s="14"/>
      <c r="BE19" s="15"/>
      <c r="BF19" s="57"/>
      <c r="BG19" s="12"/>
      <c r="BH19" s="13"/>
      <c r="BI19" s="13"/>
      <c r="BJ19" s="13"/>
      <c r="BK19" s="13"/>
      <c r="BL19" s="13"/>
      <c r="BM19" s="13"/>
      <c r="BN19" s="13"/>
      <c r="BO19" s="14"/>
      <c r="BP19" s="14"/>
      <c r="BQ19" s="14"/>
      <c r="BR19" s="14"/>
      <c r="BS19" s="15"/>
      <c r="BT19" s="57"/>
      <c r="BU19" s="12"/>
      <c r="BV19" s="13"/>
      <c r="BW19" s="13"/>
      <c r="BX19" s="13"/>
      <c r="BY19" s="13"/>
      <c r="BZ19" s="13"/>
      <c r="CA19" s="13"/>
      <c r="CB19" s="14"/>
      <c r="CC19" s="14"/>
      <c r="CD19" s="14"/>
      <c r="CE19" s="14"/>
      <c r="CF19" s="14"/>
      <c r="CG19" s="15"/>
      <c r="CH19" s="61"/>
      <c r="CI19" s="182"/>
      <c r="CJ19" s="52"/>
      <c r="CK19" s="221"/>
      <c r="CL19" s="223"/>
      <c r="CM19" s="225"/>
      <c r="CN19" s="225"/>
      <c r="CO19" s="227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1:143" s="4" customFormat="1" ht="11.45" customHeight="1" x14ac:dyDescent="0.2">
      <c r="A20" s="182">
        <v>900</v>
      </c>
      <c r="B20" s="44"/>
      <c r="C20" s="5"/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57"/>
      <c r="Q20" s="5"/>
      <c r="R20" s="9"/>
      <c r="S20" s="9"/>
      <c r="T20" s="9"/>
      <c r="U20" s="9"/>
      <c r="V20" s="9"/>
      <c r="W20" s="9"/>
      <c r="X20" s="9"/>
      <c r="Y20" s="9"/>
      <c r="Z20" s="9"/>
      <c r="AA20" s="10"/>
      <c r="AB20" s="10"/>
      <c r="AC20" s="11"/>
      <c r="AD20" s="57"/>
      <c r="AE20" s="5"/>
      <c r="AF20" s="9"/>
      <c r="AG20" s="9"/>
      <c r="AH20" s="9"/>
      <c r="AI20" s="9"/>
      <c r="AJ20" s="9"/>
      <c r="AK20" s="9"/>
      <c r="AL20" s="9"/>
      <c r="AM20" s="10"/>
      <c r="AN20" s="10"/>
      <c r="AO20" s="10"/>
      <c r="AP20" s="10"/>
      <c r="AQ20" s="11"/>
      <c r="AR20" s="57"/>
      <c r="AS20" s="5"/>
      <c r="AT20" s="9"/>
      <c r="AU20" s="9"/>
      <c r="AV20" s="9"/>
      <c r="AW20" s="9"/>
      <c r="AX20" s="9"/>
      <c r="AY20" s="9"/>
      <c r="AZ20" s="10"/>
      <c r="BA20" s="10"/>
      <c r="BB20" s="10"/>
      <c r="BC20" s="10"/>
      <c r="BD20" s="10"/>
      <c r="BE20" s="11"/>
      <c r="BF20" s="57"/>
      <c r="BG20" s="5"/>
      <c r="BH20" s="9"/>
      <c r="BI20" s="9"/>
      <c r="BJ20" s="9"/>
      <c r="BK20" s="9"/>
      <c r="BL20" s="9"/>
      <c r="BM20" s="9"/>
      <c r="BN20" s="9"/>
      <c r="BO20" s="10"/>
      <c r="BP20" s="10"/>
      <c r="BQ20" s="10"/>
      <c r="BR20" s="10"/>
      <c r="BS20" s="11"/>
      <c r="BT20" s="57"/>
      <c r="BU20" s="5"/>
      <c r="BV20" s="9"/>
      <c r="BW20" s="9"/>
      <c r="BX20" s="9"/>
      <c r="BY20" s="9"/>
      <c r="BZ20" s="9"/>
      <c r="CA20" s="9"/>
      <c r="CB20" s="10"/>
      <c r="CC20" s="10"/>
      <c r="CD20" s="10"/>
      <c r="CE20" s="10"/>
      <c r="CF20" s="10"/>
      <c r="CG20" s="11"/>
      <c r="CH20" s="61"/>
      <c r="CI20" s="182">
        <v>900</v>
      </c>
      <c r="CJ20" s="52"/>
      <c r="CK20" s="211">
        <v>30</v>
      </c>
      <c r="CL20" s="213" t="s">
        <v>176</v>
      </c>
      <c r="CM20" s="215" t="s">
        <v>177</v>
      </c>
      <c r="CN20" s="185" t="s">
        <v>178</v>
      </c>
      <c r="CO20" s="185" t="s">
        <v>138</v>
      </c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1:143" s="4" customFormat="1" ht="11.45" customHeight="1" x14ac:dyDescent="0.2">
      <c r="A21" s="182"/>
      <c r="B21" s="44"/>
      <c r="C21" s="12"/>
      <c r="D21" s="13"/>
      <c r="E21" s="13"/>
      <c r="F21" s="14"/>
      <c r="G21" s="14"/>
      <c r="H21" s="14"/>
      <c r="I21" s="14"/>
      <c r="J21" s="14"/>
      <c r="K21" s="14"/>
      <c r="L21" s="14"/>
      <c r="M21" s="14"/>
      <c r="N21" s="14" t="s">
        <v>9</v>
      </c>
      <c r="O21" s="15"/>
      <c r="P21" s="57"/>
      <c r="Q21" s="12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  <c r="AC21" s="15"/>
      <c r="AD21" s="57"/>
      <c r="AE21" s="12"/>
      <c r="AF21" s="13"/>
      <c r="AG21" s="13"/>
      <c r="AH21" s="13"/>
      <c r="AI21" s="13"/>
      <c r="AJ21" s="13"/>
      <c r="AK21" s="13"/>
      <c r="AL21" s="13"/>
      <c r="AM21" s="14"/>
      <c r="AN21" s="14"/>
      <c r="AO21" s="14"/>
      <c r="AP21" s="14"/>
      <c r="AQ21" s="15"/>
      <c r="AR21" s="57"/>
      <c r="AS21" s="12"/>
      <c r="AT21" s="13"/>
      <c r="AU21" s="13"/>
      <c r="AV21" s="13"/>
      <c r="AW21" s="13"/>
      <c r="AX21" s="13"/>
      <c r="AY21" s="13"/>
      <c r="AZ21" s="14"/>
      <c r="BA21" s="14"/>
      <c r="BB21" s="14"/>
      <c r="BC21" s="14"/>
      <c r="BD21" s="14"/>
      <c r="BE21" s="15"/>
      <c r="BF21" s="57"/>
      <c r="BG21" s="12"/>
      <c r="BH21" s="13"/>
      <c r="BI21" s="13"/>
      <c r="BJ21" s="13"/>
      <c r="BK21" s="13"/>
      <c r="BL21" s="13"/>
      <c r="BM21" s="13"/>
      <c r="BN21" s="13"/>
      <c r="BO21" s="14"/>
      <c r="BP21" s="14"/>
      <c r="BQ21" s="14"/>
      <c r="BR21" s="14"/>
      <c r="BS21" s="15"/>
      <c r="BT21" s="57"/>
      <c r="BU21" s="12"/>
      <c r="BV21" s="13"/>
      <c r="BW21" s="13"/>
      <c r="BX21" s="13"/>
      <c r="BY21" s="13"/>
      <c r="BZ21" s="13"/>
      <c r="CA21" s="13"/>
      <c r="CB21" s="14"/>
      <c r="CC21" s="14"/>
      <c r="CD21" s="14"/>
      <c r="CE21" s="14"/>
      <c r="CF21" s="14"/>
      <c r="CG21" s="15"/>
      <c r="CH21" s="61"/>
      <c r="CI21" s="182"/>
      <c r="CJ21" s="52"/>
      <c r="CK21" s="212"/>
      <c r="CL21" s="214"/>
      <c r="CM21" s="216"/>
      <c r="CN21" s="186"/>
      <c r="CO21" s="186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1:143" s="4" customFormat="1" ht="11.45" customHeight="1" x14ac:dyDescent="0.2">
      <c r="A22" s="182"/>
      <c r="B22" s="44"/>
      <c r="C22" s="5"/>
      <c r="D22" s="9"/>
      <c r="E22" s="9"/>
      <c r="F22" s="10"/>
      <c r="G22" s="10"/>
      <c r="H22" s="10"/>
      <c r="I22" s="10"/>
      <c r="J22" s="10"/>
      <c r="K22" s="10"/>
      <c r="L22" s="10"/>
      <c r="M22" s="22"/>
      <c r="N22" s="10"/>
      <c r="O22" s="11"/>
      <c r="P22" s="57"/>
      <c r="Q22" s="5"/>
      <c r="R22" s="9"/>
      <c r="S22" s="9"/>
      <c r="T22" s="9"/>
      <c r="U22" s="9"/>
      <c r="V22" s="9"/>
      <c r="W22" s="9"/>
      <c r="X22" s="10"/>
      <c r="Y22" s="10"/>
      <c r="Z22" s="10"/>
      <c r="AA22" s="10"/>
      <c r="AB22" s="10"/>
      <c r="AC22" s="11"/>
      <c r="AD22" s="57"/>
      <c r="AE22" s="5"/>
      <c r="AF22" s="9"/>
      <c r="AG22" s="9"/>
      <c r="AH22" s="9"/>
      <c r="AI22" s="9"/>
      <c r="AJ22" s="9"/>
      <c r="AK22" s="9"/>
      <c r="AL22" s="9"/>
      <c r="AM22" s="10"/>
      <c r="AN22" s="10"/>
      <c r="AO22" s="10"/>
      <c r="AP22" s="10"/>
      <c r="AQ22" s="11"/>
      <c r="AR22" s="57"/>
      <c r="AS22" s="5"/>
      <c r="AT22" s="9"/>
      <c r="AU22" s="9"/>
      <c r="AV22" s="9"/>
      <c r="AW22" s="9"/>
      <c r="AX22" s="9"/>
      <c r="AY22" s="9"/>
      <c r="AZ22" s="10"/>
      <c r="BA22" s="10"/>
      <c r="BB22" s="10"/>
      <c r="BC22" s="10"/>
      <c r="BD22" s="10"/>
      <c r="BE22" s="11"/>
      <c r="BF22" s="57"/>
      <c r="BG22" s="5"/>
      <c r="BH22" s="9"/>
      <c r="BI22" s="9"/>
      <c r="BJ22" s="9"/>
      <c r="BK22" s="9"/>
      <c r="BL22" s="9"/>
      <c r="BM22" s="9"/>
      <c r="BN22" s="9"/>
      <c r="BO22" s="10"/>
      <c r="BP22" s="10"/>
      <c r="BQ22" s="10"/>
      <c r="BR22" s="10"/>
      <c r="BS22" s="11"/>
      <c r="BT22" s="57"/>
      <c r="BU22" s="5"/>
      <c r="BV22" s="9"/>
      <c r="BW22" s="9"/>
      <c r="BX22" s="9"/>
      <c r="BY22" s="9"/>
      <c r="BZ22" s="9"/>
      <c r="CA22" s="9"/>
      <c r="CB22" s="10"/>
      <c r="CC22" s="10"/>
      <c r="CD22" s="10"/>
      <c r="CE22" s="10"/>
      <c r="CF22" s="10"/>
      <c r="CG22" s="11"/>
      <c r="CH22" s="61"/>
      <c r="CI22" s="182"/>
      <c r="CJ22" s="52"/>
      <c r="CK22" s="211">
        <v>40</v>
      </c>
      <c r="CL22" s="268" t="s">
        <v>221</v>
      </c>
      <c r="CM22" s="215" t="s">
        <v>222</v>
      </c>
      <c r="CN22" s="185" t="s">
        <v>223</v>
      </c>
      <c r="CO22" s="185" t="s">
        <v>100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1:143" s="4" customFormat="1" ht="11.45" customHeight="1" x14ac:dyDescent="0.2">
      <c r="A23" s="182"/>
      <c r="B23" s="44"/>
      <c r="C23" s="12"/>
      <c r="D23" s="13"/>
      <c r="E23" s="13"/>
      <c r="F23" s="14"/>
      <c r="G23" s="14"/>
      <c r="H23" s="14"/>
      <c r="I23" s="14"/>
      <c r="J23" s="14"/>
      <c r="K23" s="14"/>
      <c r="L23" s="14"/>
      <c r="M23" s="23"/>
      <c r="N23" s="14"/>
      <c r="O23" s="15"/>
      <c r="P23" s="57"/>
      <c r="Q23" s="12"/>
      <c r="R23" s="13"/>
      <c r="S23" s="13"/>
      <c r="T23" s="13"/>
      <c r="U23" s="13"/>
      <c r="V23" s="13"/>
      <c r="W23" s="13"/>
      <c r="X23" s="14"/>
      <c r="Y23" s="14"/>
      <c r="Z23" s="14"/>
      <c r="AA23" s="14"/>
      <c r="AB23" s="14"/>
      <c r="AC23" s="15"/>
      <c r="AD23" s="57"/>
      <c r="AE23" s="12"/>
      <c r="AF23" s="13"/>
      <c r="AG23" s="13"/>
      <c r="AH23" s="13"/>
      <c r="AI23" s="13"/>
      <c r="AJ23" s="13"/>
      <c r="AK23" s="13"/>
      <c r="AL23" s="13"/>
      <c r="AM23" s="14"/>
      <c r="AN23" s="14"/>
      <c r="AO23" s="14"/>
      <c r="AP23" s="14"/>
      <c r="AQ23" s="15"/>
      <c r="AR23" s="57"/>
      <c r="AS23" s="12"/>
      <c r="AT23" s="13"/>
      <c r="AU23" s="13"/>
      <c r="AV23" s="13"/>
      <c r="AW23" s="13"/>
      <c r="AX23" s="13"/>
      <c r="AY23" s="13"/>
      <c r="AZ23" s="14"/>
      <c r="BA23" s="14"/>
      <c r="BB23" s="14"/>
      <c r="BC23" s="14"/>
      <c r="BD23" s="14"/>
      <c r="BE23" s="15"/>
      <c r="BF23" s="57"/>
      <c r="BG23" s="12"/>
      <c r="BH23" s="13"/>
      <c r="BI23" s="13"/>
      <c r="BJ23" s="13"/>
      <c r="BK23" s="13"/>
      <c r="BL23" s="13"/>
      <c r="BM23" s="13"/>
      <c r="BN23" s="13"/>
      <c r="BO23" s="14"/>
      <c r="BP23" s="14"/>
      <c r="BQ23" s="14"/>
      <c r="BR23" s="14"/>
      <c r="BS23" s="15"/>
      <c r="BT23" s="57"/>
      <c r="BU23" s="12"/>
      <c r="BV23" s="13"/>
      <c r="BW23" s="13"/>
      <c r="BX23" s="13"/>
      <c r="BY23" s="13"/>
      <c r="BZ23" s="13"/>
      <c r="CA23" s="13"/>
      <c r="CB23" s="14"/>
      <c r="CC23" s="14"/>
      <c r="CD23" s="14"/>
      <c r="CE23" s="14"/>
      <c r="CF23" s="14"/>
      <c r="CG23" s="15"/>
      <c r="CH23" s="61"/>
      <c r="CI23" s="182"/>
      <c r="CJ23" s="52"/>
      <c r="CK23" s="212"/>
      <c r="CL23" s="269"/>
      <c r="CM23" s="216"/>
      <c r="CN23" s="186"/>
      <c r="CO23" s="186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1:143" s="4" customFormat="1" ht="11.45" customHeight="1" x14ac:dyDescent="0.2">
      <c r="A24" s="182">
        <v>1000</v>
      </c>
      <c r="B24" s="44"/>
      <c r="C24" s="5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57"/>
      <c r="Q24" s="5"/>
      <c r="R24" s="9"/>
      <c r="S24" s="9"/>
      <c r="T24" s="9"/>
      <c r="U24" s="9"/>
      <c r="V24" s="9"/>
      <c r="W24" s="9"/>
      <c r="X24" s="9"/>
      <c r="Y24" s="9"/>
      <c r="Z24" s="9"/>
      <c r="AA24" s="10"/>
      <c r="AB24" s="10"/>
      <c r="AC24" s="11"/>
      <c r="AD24" s="57"/>
      <c r="AE24" s="5"/>
      <c r="AF24" s="9"/>
      <c r="AG24" s="9"/>
      <c r="AH24" s="9"/>
      <c r="AI24" s="9"/>
      <c r="AJ24" s="9"/>
      <c r="AK24" s="9"/>
      <c r="AL24" s="9"/>
      <c r="AM24" s="10"/>
      <c r="AN24" s="10"/>
      <c r="AO24" s="10"/>
      <c r="AP24" s="10"/>
      <c r="AQ24" s="11"/>
      <c r="AR24" s="57"/>
      <c r="AS24" s="5"/>
      <c r="AT24" s="9"/>
      <c r="AU24" s="9"/>
      <c r="AV24" s="9"/>
      <c r="AW24" s="9"/>
      <c r="AX24" s="9"/>
      <c r="AY24" s="9"/>
      <c r="AZ24" s="10"/>
      <c r="BA24" s="10"/>
      <c r="BB24" s="10"/>
      <c r="BC24" s="10"/>
      <c r="BD24" s="10"/>
      <c r="BE24" s="11"/>
      <c r="BF24" s="57"/>
      <c r="BG24" s="5"/>
      <c r="BH24" s="9"/>
      <c r="BI24" s="9"/>
      <c r="BJ24" s="9"/>
      <c r="BK24" s="9"/>
      <c r="BL24" s="9"/>
      <c r="BM24" s="9"/>
      <c r="BN24" s="9"/>
      <c r="BO24" s="10"/>
      <c r="BP24" s="10"/>
      <c r="BQ24" s="10"/>
      <c r="BR24" s="10"/>
      <c r="BS24" s="11"/>
      <c r="BT24" s="57"/>
      <c r="BU24" s="5"/>
      <c r="BV24" s="9"/>
      <c r="BW24" s="9"/>
      <c r="BX24" s="9"/>
      <c r="BY24" s="9"/>
      <c r="BZ24" s="9"/>
      <c r="CA24" s="9"/>
      <c r="CB24" s="10"/>
      <c r="CC24" s="10"/>
      <c r="CD24" s="10"/>
      <c r="CE24" s="10"/>
      <c r="CF24" s="10"/>
      <c r="CG24" s="11"/>
      <c r="CH24" s="61"/>
      <c r="CI24" s="182">
        <v>1000</v>
      </c>
      <c r="CJ24" s="52"/>
      <c r="CK24" s="264">
        <v>41</v>
      </c>
      <c r="CL24" s="266" t="s">
        <v>180</v>
      </c>
      <c r="CM24" s="215" t="s">
        <v>202</v>
      </c>
      <c r="CN24" s="215" t="s">
        <v>102</v>
      </c>
      <c r="CO24" s="215" t="s">
        <v>138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1:143" s="4" customFormat="1" ht="11.45" customHeight="1" x14ac:dyDescent="0.2">
      <c r="A25" s="182"/>
      <c r="B25" s="44"/>
      <c r="C25" s="12"/>
      <c r="D25" s="13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57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  <c r="AC25" s="15"/>
      <c r="AD25" s="57"/>
      <c r="AE25" s="12"/>
      <c r="AF25" s="13"/>
      <c r="AG25" s="13"/>
      <c r="AH25" s="13"/>
      <c r="AI25" s="13"/>
      <c r="AJ25" s="13"/>
      <c r="AK25" s="13"/>
      <c r="AL25" s="13"/>
      <c r="AM25" s="14"/>
      <c r="AN25" s="14"/>
      <c r="AO25" s="14"/>
      <c r="AP25" s="14"/>
      <c r="AQ25" s="15"/>
      <c r="AR25" s="57"/>
      <c r="AS25" s="12"/>
      <c r="AT25" s="13"/>
      <c r="AU25" s="13"/>
      <c r="AV25" s="13"/>
      <c r="AW25" s="13"/>
      <c r="AX25" s="13"/>
      <c r="AY25" s="13"/>
      <c r="AZ25" s="14"/>
      <c r="BA25" s="14"/>
      <c r="BB25" s="14"/>
      <c r="BC25" s="14"/>
      <c r="BD25" s="14"/>
      <c r="BE25" s="15"/>
      <c r="BF25" s="57"/>
      <c r="BG25" s="12"/>
      <c r="BH25" s="13"/>
      <c r="BI25" s="13"/>
      <c r="BJ25" s="13"/>
      <c r="BK25" s="13"/>
      <c r="BL25" s="13"/>
      <c r="BM25" s="13"/>
      <c r="BN25" s="13"/>
      <c r="BO25" s="14"/>
      <c r="BP25" s="14"/>
      <c r="BQ25" s="14"/>
      <c r="BR25" s="14"/>
      <c r="BS25" s="15"/>
      <c r="BT25" s="57"/>
      <c r="BU25" s="12"/>
      <c r="BV25" s="13"/>
      <c r="BW25" s="13"/>
      <c r="BX25" s="13"/>
      <c r="BY25" s="13"/>
      <c r="BZ25" s="13"/>
      <c r="CA25" s="13"/>
      <c r="CB25" s="14"/>
      <c r="CC25" s="14"/>
      <c r="CD25" s="14"/>
      <c r="CE25" s="14"/>
      <c r="CF25" s="14"/>
      <c r="CG25" s="15"/>
      <c r="CH25" s="61"/>
      <c r="CI25" s="182"/>
      <c r="CJ25" s="52"/>
      <c r="CK25" s="265"/>
      <c r="CL25" s="267"/>
      <c r="CM25" s="216"/>
      <c r="CN25" s="216"/>
      <c r="CO25" s="216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1:143" s="4" customFormat="1" ht="11.45" customHeight="1" x14ac:dyDescent="0.2">
      <c r="A26" s="182"/>
      <c r="B26" s="44"/>
      <c r="C26" s="5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57"/>
      <c r="Q26" s="5"/>
      <c r="R26" s="9"/>
      <c r="S26" s="9"/>
      <c r="T26" s="9"/>
      <c r="U26" s="9"/>
      <c r="V26" s="9"/>
      <c r="W26" s="9"/>
      <c r="X26" s="9"/>
      <c r="Y26" s="9"/>
      <c r="Z26" s="9"/>
      <c r="AA26" s="10"/>
      <c r="AB26" s="10"/>
      <c r="AC26" s="11"/>
      <c r="AD26" s="57"/>
      <c r="AE26" s="5"/>
      <c r="AF26" s="9"/>
      <c r="AG26" s="9"/>
      <c r="AH26" s="9"/>
      <c r="AI26" s="9"/>
      <c r="AJ26" s="9"/>
      <c r="AK26" s="9"/>
      <c r="AL26" s="9"/>
      <c r="AM26" s="10"/>
      <c r="AN26" s="10"/>
      <c r="AO26" s="10"/>
      <c r="AP26" s="10"/>
      <c r="AQ26" s="11"/>
      <c r="AR26" s="57"/>
      <c r="AS26" s="5"/>
      <c r="AT26" s="9"/>
      <c r="AU26" s="9"/>
      <c r="AV26" s="9"/>
      <c r="AW26" s="9"/>
      <c r="AX26" s="9"/>
      <c r="AY26" s="9"/>
      <c r="AZ26" s="10"/>
      <c r="BA26" s="10"/>
      <c r="BB26" s="10"/>
      <c r="BC26" s="10"/>
      <c r="BD26" s="10"/>
      <c r="BE26" s="11"/>
      <c r="BF26" s="57"/>
      <c r="BG26" s="5"/>
      <c r="BH26" s="9"/>
      <c r="BI26" s="9"/>
      <c r="BJ26" s="9"/>
      <c r="BK26" s="9"/>
      <c r="BL26" s="9"/>
      <c r="BM26" s="9"/>
      <c r="BN26" s="9"/>
      <c r="BO26" s="10"/>
      <c r="BP26" s="10"/>
      <c r="BQ26" s="10"/>
      <c r="BR26" s="10"/>
      <c r="BS26" s="11"/>
      <c r="BT26" s="57"/>
      <c r="BU26" s="5"/>
      <c r="BV26" s="9"/>
      <c r="BW26" s="9"/>
      <c r="BX26" s="9"/>
      <c r="BY26" s="9"/>
      <c r="BZ26" s="9"/>
      <c r="CA26" s="9"/>
      <c r="CB26" s="10"/>
      <c r="CC26" s="10"/>
      <c r="CD26" s="10"/>
      <c r="CE26" s="10"/>
      <c r="CF26" s="10"/>
      <c r="CG26" s="11"/>
      <c r="CH26" s="61"/>
      <c r="CI26" s="182"/>
      <c r="CJ26" s="52"/>
      <c r="CK26" s="211">
        <v>41</v>
      </c>
      <c r="CL26" s="213">
        <v>1900</v>
      </c>
      <c r="CM26" s="215" t="s">
        <v>153</v>
      </c>
      <c r="CN26" s="185" t="s">
        <v>102</v>
      </c>
      <c r="CO26" s="185" t="s">
        <v>101</v>
      </c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1:143" s="4" customFormat="1" ht="11.45" customHeight="1" x14ac:dyDescent="0.2">
      <c r="A27" s="182"/>
      <c r="B27" s="44"/>
      <c r="C27" s="12"/>
      <c r="D27" s="13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57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  <c r="AC27" s="15"/>
      <c r="AD27" s="57"/>
      <c r="AE27" s="12"/>
      <c r="AF27" s="13"/>
      <c r="AG27" s="13"/>
      <c r="AH27" s="13"/>
      <c r="AI27" s="13"/>
      <c r="AJ27" s="13"/>
      <c r="AK27" s="13"/>
      <c r="AL27" s="13"/>
      <c r="AM27" s="14"/>
      <c r="AN27" s="14"/>
      <c r="AO27" s="14"/>
      <c r="AP27" s="14"/>
      <c r="AQ27" s="15"/>
      <c r="AR27" s="57"/>
      <c r="AS27" s="12"/>
      <c r="AT27" s="13"/>
      <c r="AU27" s="13"/>
      <c r="AV27" s="13"/>
      <c r="AW27" s="13"/>
      <c r="AX27" s="13"/>
      <c r="AY27" s="13"/>
      <c r="AZ27" s="14"/>
      <c r="BA27" s="14"/>
      <c r="BB27" s="14"/>
      <c r="BC27" s="14"/>
      <c r="BD27" s="14"/>
      <c r="BE27" s="15"/>
      <c r="BF27" s="57"/>
      <c r="BG27" s="12"/>
      <c r="BH27" s="13"/>
      <c r="BI27" s="13"/>
      <c r="BJ27" s="13"/>
      <c r="BK27" s="13"/>
      <c r="BL27" s="13"/>
      <c r="BM27" s="13"/>
      <c r="BN27" s="13"/>
      <c r="BO27" s="14"/>
      <c r="BP27" s="14"/>
      <c r="BQ27" s="14"/>
      <c r="BR27" s="14"/>
      <c r="BS27" s="15"/>
      <c r="BT27" s="57"/>
      <c r="BU27" s="12"/>
      <c r="BV27" s="13"/>
      <c r="BW27" s="13"/>
      <c r="BX27" s="13"/>
      <c r="BY27" s="13"/>
      <c r="BZ27" s="13"/>
      <c r="CA27" s="13"/>
      <c r="CB27" s="14"/>
      <c r="CC27" s="14"/>
      <c r="CD27" s="14"/>
      <c r="CE27" s="14"/>
      <c r="CF27" s="14"/>
      <c r="CG27" s="15"/>
      <c r="CH27" s="61"/>
      <c r="CI27" s="182"/>
      <c r="CJ27" s="52"/>
      <c r="CK27" s="212"/>
      <c r="CL27" s="214"/>
      <c r="CM27" s="216"/>
      <c r="CN27" s="186"/>
      <c r="CO27" s="186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1:143" s="4" customFormat="1" ht="11.45" customHeight="1" x14ac:dyDescent="0.2">
      <c r="A28" s="182">
        <v>1100</v>
      </c>
      <c r="B28" s="44"/>
      <c r="C28" s="5"/>
      <c r="D28" s="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57"/>
      <c r="Q28" s="5"/>
      <c r="R28" s="9"/>
      <c r="S28" s="9"/>
      <c r="T28" s="9"/>
      <c r="U28" s="9"/>
      <c r="V28" s="9"/>
      <c r="W28" s="9"/>
      <c r="X28" s="9"/>
      <c r="Y28" s="9"/>
      <c r="Z28" s="9"/>
      <c r="AA28" s="10"/>
      <c r="AB28" s="10"/>
      <c r="AC28" s="11"/>
      <c r="AD28" s="57"/>
      <c r="AE28" s="5"/>
      <c r="AF28" s="9"/>
      <c r="AG28" s="9"/>
      <c r="AH28" s="9"/>
      <c r="AI28" s="9"/>
      <c r="AJ28" s="9"/>
      <c r="AK28" s="9"/>
      <c r="AL28" s="9"/>
      <c r="AM28" s="10"/>
      <c r="AN28" s="10"/>
      <c r="AO28" s="10"/>
      <c r="AP28" s="10"/>
      <c r="AQ28" s="11"/>
      <c r="AR28" s="57"/>
      <c r="AS28" s="5"/>
      <c r="AT28" s="9"/>
      <c r="AU28" s="9"/>
      <c r="AV28" s="9"/>
      <c r="AW28" s="9"/>
      <c r="AX28" s="9"/>
      <c r="AY28" s="9"/>
      <c r="AZ28" s="10"/>
      <c r="BA28" s="10"/>
      <c r="BB28" s="10"/>
      <c r="BC28" s="10"/>
      <c r="BD28" s="10"/>
      <c r="BE28" s="11"/>
      <c r="BF28" s="57"/>
      <c r="BG28" s="5"/>
      <c r="BH28" s="9"/>
      <c r="BI28" s="9"/>
      <c r="BJ28" s="9"/>
      <c r="BK28" s="9"/>
      <c r="BL28" s="9"/>
      <c r="BM28" s="9"/>
      <c r="BN28" s="9"/>
      <c r="BO28" s="10"/>
      <c r="BP28" s="10"/>
      <c r="BQ28" s="10"/>
      <c r="BR28" s="10"/>
      <c r="BS28" s="11"/>
      <c r="BT28" s="57"/>
      <c r="BU28" s="5"/>
      <c r="BV28" s="9"/>
      <c r="BW28" s="9"/>
      <c r="BX28" s="9"/>
      <c r="BY28" s="9"/>
      <c r="BZ28" s="9"/>
      <c r="CA28" s="9"/>
      <c r="CB28" s="10"/>
      <c r="CC28" s="10"/>
      <c r="CD28" s="10"/>
      <c r="CE28" s="10"/>
      <c r="CF28" s="10"/>
      <c r="CG28" s="11"/>
      <c r="CH28" s="61"/>
      <c r="CI28" s="182">
        <v>1100</v>
      </c>
      <c r="CJ28" s="52"/>
      <c r="CK28" s="264">
        <v>50</v>
      </c>
      <c r="CL28" s="266">
        <v>1330</v>
      </c>
      <c r="CM28" s="215" t="s">
        <v>182</v>
      </c>
      <c r="CN28" s="215" t="s">
        <v>184</v>
      </c>
      <c r="CO28" s="215" t="s">
        <v>183</v>
      </c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1:143" s="4" customFormat="1" ht="11.45" customHeight="1" x14ac:dyDescent="0.2">
      <c r="A29" s="182"/>
      <c r="B29" s="44"/>
      <c r="C29" s="12"/>
      <c r="D29" s="13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57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  <c r="AC29" s="15"/>
      <c r="AD29" s="57"/>
      <c r="AE29" s="12"/>
      <c r="AF29" s="13"/>
      <c r="AG29" s="13"/>
      <c r="AH29" s="13"/>
      <c r="AI29" s="13"/>
      <c r="AJ29" s="13"/>
      <c r="AK29" s="13"/>
      <c r="AL29" s="13"/>
      <c r="AM29" s="14"/>
      <c r="AN29" s="14"/>
      <c r="AO29" s="14"/>
      <c r="AP29" s="14"/>
      <c r="AQ29" s="15"/>
      <c r="AR29" s="57"/>
      <c r="AS29" s="12"/>
      <c r="AT29" s="13"/>
      <c r="AU29" s="13"/>
      <c r="AV29" s="13"/>
      <c r="AW29" s="13"/>
      <c r="AX29" s="13"/>
      <c r="AY29" s="13"/>
      <c r="AZ29" s="14"/>
      <c r="BA29" s="14"/>
      <c r="BB29" s="14"/>
      <c r="BC29" s="14"/>
      <c r="BD29" s="14"/>
      <c r="BE29" s="15"/>
      <c r="BF29" s="57"/>
      <c r="BG29" s="12"/>
      <c r="BH29" s="13"/>
      <c r="BI29" s="13"/>
      <c r="BJ29" s="13"/>
      <c r="BK29" s="13"/>
      <c r="BL29" s="13"/>
      <c r="BM29" s="13"/>
      <c r="BN29" s="13"/>
      <c r="BO29" s="14"/>
      <c r="BP29" s="14"/>
      <c r="BQ29" s="14"/>
      <c r="BR29" s="14"/>
      <c r="BS29" s="15"/>
      <c r="BT29" s="57"/>
      <c r="BU29" s="12"/>
      <c r="BV29" s="13"/>
      <c r="BW29" s="13"/>
      <c r="BX29" s="13"/>
      <c r="BY29" s="13"/>
      <c r="BZ29" s="13"/>
      <c r="CA29" s="13"/>
      <c r="CB29" s="14"/>
      <c r="CC29" s="14"/>
      <c r="CD29" s="14"/>
      <c r="CE29" s="14"/>
      <c r="CF29" s="14"/>
      <c r="CG29" s="15"/>
      <c r="CH29" s="61"/>
      <c r="CI29" s="182"/>
      <c r="CJ29" s="52"/>
      <c r="CK29" s="265"/>
      <c r="CL29" s="267"/>
      <c r="CM29" s="216"/>
      <c r="CN29" s="216"/>
      <c r="CO29" s="216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1:143" s="4" customFormat="1" ht="11.45" customHeight="1" x14ac:dyDescent="0.2">
      <c r="A30" s="182"/>
      <c r="B30" s="44"/>
      <c r="C30" s="5"/>
      <c r="D30" s="9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57"/>
      <c r="Q30" s="5"/>
      <c r="R30" s="9"/>
      <c r="S30" s="9"/>
      <c r="T30" s="9"/>
      <c r="U30" s="9"/>
      <c r="V30" s="9"/>
      <c r="W30" s="9"/>
      <c r="X30" s="9"/>
      <c r="Y30" s="9"/>
      <c r="Z30" s="9"/>
      <c r="AA30" s="10"/>
      <c r="AB30" s="10"/>
      <c r="AC30" s="11"/>
      <c r="AD30" s="57"/>
      <c r="AE30" s="5"/>
      <c r="AF30" s="9"/>
      <c r="AG30" s="9"/>
      <c r="AH30" s="9"/>
      <c r="AI30" s="9"/>
      <c r="AJ30" s="9"/>
      <c r="AK30" s="9"/>
      <c r="AL30" s="9"/>
      <c r="AM30" s="10"/>
      <c r="AN30" s="10"/>
      <c r="AO30" s="10"/>
      <c r="AP30" s="10"/>
      <c r="AQ30" s="11"/>
      <c r="AR30" s="57"/>
      <c r="AS30" s="5"/>
      <c r="AT30" s="9"/>
      <c r="AU30" s="9"/>
      <c r="AV30" s="9"/>
      <c r="AW30" s="9"/>
      <c r="AX30" s="9"/>
      <c r="AY30" s="9"/>
      <c r="AZ30" s="10"/>
      <c r="BA30" s="10"/>
      <c r="BB30" s="10"/>
      <c r="BC30" s="10"/>
      <c r="BD30" s="10"/>
      <c r="BE30" s="11"/>
      <c r="BF30" s="57"/>
      <c r="BG30" s="5"/>
      <c r="BH30" s="9"/>
      <c r="BI30" s="9"/>
      <c r="BJ30" s="9"/>
      <c r="BK30" s="9"/>
      <c r="BL30" s="9"/>
      <c r="BM30" s="9"/>
      <c r="BN30" s="9"/>
      <c r="BO30" s="10"/>
      <c r="BP30" s="10"/>
      <c r="BQ30" s="10"/>
      <c r="BR30" s="10"/>
      <c r="BS30" s="11"/>
      <c r="BT30" s="57"/>
      <c r="BU30" s="5"/>
      <c r="BV30" s="9"/>
      <c r="BW30" s="9"/>
      <c r="BX30" s="9"/>
      <c r="BY30" s="9"/>
      <c r="BZ30" s="9"/>
      <c r="CA30" s="9"/>
      <c r="CB30" s="10"/>
      <c r="CC30" s="10"/>
      <c r="CD30" s="10"/>
      <c r="CE30" s="10"/>
      <c r="CF30" s="10"/>
      <c r="CG30" s="11"/>
      <c r="CH30" s="61"/>
      <c r="CI30" s="182"/>
      <c r="CJ30" s="52"/>
      <c r="CK30" s="211">
        <v>51</v>
      </c>
      <c r="CL30" s="213" t="s">
        <v>203</v>
      </c>
      <c r="CM30" s="215" t="s">
        <v>204</v>
      </c>
      <c r="CN30" s="185" t="s">
        <v>131</v>
      </c>
      <c r="CO30" s="185" t="s">
        <v>100</v>
      </c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1:143" s="4" customFormat="1" ht="11.45" customHeight="1" x14ac:dyDescent="0.2">
      <c r="A31" s="182"/>
      <c r="B31" s="44"/>
      <c r="C31" s="12"/>
      <c r="D31" s="13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57"/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  <c r="AC31" s="15"/>
      <c r="AD31" s="57"/>
      <c r="AE31" s="12"/>
      <c r="AF31" s="13"/>
      <c r="AG31" s="13"/>
      <c r="AH31" s="13"/>
      <c r="AI31" s="13"/>
      <c r="AJ31" s="13"/>
      <c r="AK31" s="13"/>
      <c r="AL31" s="13"/>
      <c r="AM31" s="14"/>
      <c r="AN31" s="14"/>
      <c r="AO31" s="14"/>
      <c r="AP31" s="14"/>
      <c r="AQ31" s="15"/>
      <c r="AR31" s="57"/>
      <c r="AS31" s="12"/>
      <c r="AT31" s="13"/>
      <c r="AU31" s="13"/>
      <c r="AV31" s="13"/>
      <c r="AW31" s="13"/>
      <c r="AX31" s="13"/>
      <c r="AY31" s="13"/>
      <c r="AZ31" s="14"/>
      <c r="BA31" s="14"/>
      <c r="BB31" s="14"/>
      <c r="BC31" s="14"/>
      <c r="BD31" s="14"/>
      <c r="BE31" s="15"/>
      <c r="BF31" s="57"/>
      <c r="BG31" s="12"/>
      <c r="BH31" s="13"/>
      <c r="BI31" s="13"/>
      <c r="BJ31" s="13"/>
      <c r="BK31" s="13"/>
      <c r="BL31" s="13"/>
      <c r="BM31" s="13"/>
      <c r="BN31" s="13"/>
      <c r="BO31" s="14"/>
      <c r="BP31" s="14"/>
      <c r="BQ31" s="14"/>
      <c r="BR31" s="14"/>
      <c r="BS31" s="15"/>
      <c r="BT31" s="57"/>
      <c r="BU31" s="12"/>
      <c r="BV31" s="13"/>
      <c r="BW31" s="13"/>
      <c r="BX31" s="13"/>
      <c r="BY31" s="13"/>
      <c r="BZ31" s="13"/>
      <c r="CA31" s="13"/>
      <c r="CB31" s="14"/>
      <c r="CC31" s="14"/>
      <c r="CD31" s="14"/>
      <c r="CE31" s="14"/>
      <c r="CF31" s="14"/>
      <c r="CG31" s="15"/>
      <c r="CH31" s="61"/>
      <c r="CI31" s="182"/>
      <c r="CJ31" s="52"/>
      <c r="CK31" s="212"/>
      <c r="CL31" s="214"/>
      <c r="CM31" s="216"/>
      <c r="CN31" s="186"/>
      <c r="CO31" s="186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1:143" s="4" customFormat="1" ht="11.45" customHeight="1" x14ac:dyDescent="0.2">
      <c r="A32" s="182">
        <v>1200</v>
      </c>
      <c r="B32" s="44"/>
      <c r="C32" s="5"/>
      <c r="D32" s="9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1"/>
      <c r="P32" s="57"/>
      <c r="Q32" s="5"/>
      <c r="R32" s="9"/>
      <c r="S32" s="9"/>
      <c r="T32" s="9"/>
      <c r="U32" s="9"/>
      <c r="V32" s="9"/>
      <c r="W32" s="9"/>
      <c r="X32" s="9"/>
      <c r="Y32" s="9"/>
      <c r="Z32" s="9"/>
      <c r="AA32" s="10"/>
      <c r="AB32" s="10"/>
      <c r="AC32" s="11"/>
      <c r="AD32" s="57"/>
      <c r="AE32" s="5"/>
      <c r="AF32" s="9"/>
      <c r="AG32" s="9"/>
      <c r="AH32" s="9"/>
      <c r="AI32" s="9"/>
      <c r="AJ32" s="9"/>
      <c r="AK32" s="9"/>
      <c r="AL32" s="9"/>
      <c r="AM32" s="10"/>
      <c r="AN32" s="10"/>
      <c r="AO32" s="10"/>
      <c r="AP32" s="10"/>
      <c r="AQ32" s="11"/>
      <c r="AR32" s="57"/>
      <c r="AS32" s="5"/>
      <c r="AT32" s="9"/>
      <c r="AU32" s="9"/>
      <c r="AV32" s="9"/>
      <c r="AW32" s="9"/>
      <c r="AX32" s="9"/>
      <c r="AY32" s="9"/>
      <c r="AZ32" s="10"/>
      <c r="BA32" s="10"/>
      <c r="BB32" s="10"/>
      <c r="BC32" s="10"/>
      <c r="BD32" s="10"/>
      <c r="BE32" s="11"/>
      <c r="BF32" s="57"/>
      <c r="BG32" s="5"/>
      <c r="BH32" s="9"/>
      <c r="BI32" s="9"/>
      <c r="BJ32" s="9"/>
      <c r="BK32" s="9"/>
      <c r="BL32" s="9"/>
      <c r="BM32" s="9"/>
      <c r="BN32" s="9"/>
      <c r="BO32" s="10"/>
      <c r="BP32" s="10"/>
      <c r="BQ32" s="10"/>
      <c r="BR32" s="10"/>
      <c r="BS32" s="11"/>
      <c r="BT32" s="57"/>
      <c r="BU32" s="5"/>
      <c r="BV32" s="9"/>
      <c r="BW32" s="9"/>
      <c r="BX32" s="9"/>
      <c r="BY32" s="9"/>
      <c r="BZ32" s="9"/>
      <c r="CA32" s="9"/>
      <c r="CB32" s="10"/>
      <c r="CC32" s="10"/>
      <c r="CD32" s="10"/>
      <c r="CE32" s="10"/>
      <c r="CF32" s="10"/>
      <c r="CG32" s="11"/>
      <c r="CH32" s="61"/>
      <c r="CI32" s="182">
        <v>1200</v>
      </c>
      <c r="CJ32" s="52"/>
      <c r="CK32" s="211">
        <v>70</v>
      </c>
      <c r="CL32" s="213">
        <v>1200</v>
      </c>
      <c r="CM32" s="215" t="s">
        <v>224</v>
      </c>
      <c r="CN32" s="185" t="s">
        <v>226</v>
      </c>
      <c r="CO32" s="185" t="s">
        <v>103</v>
      </c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 s="4" customFormat="1" ht="11.45" customHeight="1" x14ac:dyDescent="0.2">
      <c r="A33" s="182"/>
      <c r="B33" s="44"/>
      <c r="C33" s="12"/>
      <c r="D33" s="13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57"/>
      <c r="Q33" s="12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  <c r="AC33" s="15"/>
      <c r="AD33" s="57"/>
      <c r="AE33" s="12"/>
      <c r="AF33" s="13"/>
      <c r="AG33" s="13"/>
      <c r="AH33" s="13"/>
      <c r="AI33" s="13"/>
      <c r="AJ33" s="13"/>
      <c r="AK33" s="13"/>
      <c r="AL33" s="13"/>
      <c r="AM33" s="14"/>
      <c r="AN33" s="14"/>
      <c r="AO33" s="14"/>
      <c r="AP33" s="14"/>
      <c r="AQ33" s="15"/>
      <c r="AR33" s="57"/>
      <c r="AS33" s="12"/>
      <c r="AT33" s="13"/>
      <c r="AU33" s="13"/>
      <c r="AV33" s="13"/>
      <c r="AW33" s="13"/>
      <c r="AX33" s="13"/>
      <c r="AY33" s="13"/>
      <c r="AZ33" s="14"/>
      <c r="BA33" s="14"/>
      <c r="BB33" s="14"/>
      <c r="BC33" s="14"/>
      <c r="BD33" s="14"/>
      <c r="BE33" s="15"/>
      <c r="BF33" s="57"/>
      <c r="BG33" s="12"/>
      <c r="BH33" s="13"/>
      <c r="BI33" s="13"/>
      <c r="BJ33" s="13"/>
      <c r="BK33" s="13"/>
      <c r="BL33" s="13"/>
      <c r="BM33" s="13"/>
      <c r="BN33" s="13"/>
      <c r="BO33" s="14"/>
      <c r="BP33" s="14"/>
      <c r="BQ33" s="14"/>
      <c r="BR33" s="14"/>
      <c r="BS33" s="15"/>
      <c r="BT33" s="57"/>
      <c r="BU33" s="12"/>
      <c r="BV33" s="13"/>
      <c r="BW33" s="13"/>
      <c r="BX33" s="13"/>
      <c r="BY33" s="13"/>
      <c r="BZ33" s="13"/>
      <c r="CA33" s="13"/>
      <c r="CB33" s="14"/>
      <c r="CC33" s="14"/>
      <c r="CD33" s="14"/>
      <c r="CE33" s="14"/>
      <c r="CF33" s="14"/>
      <c r="CG33" s="15"/>
      <c r="CH33" s="61"/>
      <c r="CI33" s="182"/>
      <c r="CJ33" s="52"/>
      <c r="CK33" s="212"/>
      <c r="CL33" s="214"/>
      <c r="CM33" s="216"/>
      <c r="CN33" s="186"/>
      <c r="CO33" s="186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 s="4" customFormat="1" ht="11.45" customHeight="1" x14ac:dyDescent="0.2">
      <c r="A34" s="182"/>
      <c r="B34" s="44"/>
      <c r="C34" s="5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1"/>
      <c r="P34" s="57"/>
      <c r="Q34" s="5"/>
      <c r="R34" s="9"/>
      <c r="S34" s="9"/>
      <c r="T34" s="9"/>
      <c r="U34" s="9"/>
      <c r="V34" s="9"/>
      <c r="W34" s="9"/>
      <c r="X34" s="9"/>
      <c r="Y34" s="9"/>
      <c r="Z34" s="9"/>
      <c r="AA34" s="10"/>
      <c r="AB34" s="10"/>
      <c r="AC34" s="11"/>
      <c r="AD34" s="57"/>
      <c r="AE34" s="5"/>
      <c r="AF34" s="9"/>
      <c r="AG34" s="9"/>
      <c r="AH34" s="9"/>
      <c r="AI34" s="9"/>
      <c r="AJ34" s="9"/>
      <c r="AK34" s="9"/>
      <c r="AL34" s="9"/>
      <c r="AM34" s="10"/>
      <c r="AN34" s="10"/>
      <c r="AO34" s="10"/>
      <c r="AP34" s="10"/>
      <c r="AQ34" s="11"/>
      <c r="AR34" s="57"/>
      <c r="AS34" s="5"/>
      <c r="AT34" s="9"/>
      <c r="AU34" s="9"/>
      <c r="AV34" s="9"/>
      <c r="AW34" s="9"/>
      <c r="AX34" s="9"/>
      <c r="AY34" s="9"/>
      <c r="AZ34" s="10"/>
      <c r="BA34" s="10"/>
      <c r="BB34" s="10"/>
      <c r="BC34" s="10"/>
      <c r="BD34" s="10"/>
      <c r="BE34" s="11"/>
      <c r="BF34" s="57"/>
      <c r="BG34" s="5"/>
      <c r="BH34" s="9"/>
      <c r="BI34" s="9"/>
      <c r="BJ34" s="9"/>
      <c r="BK34" s="9"/>
      <c r="BL34" s="9"/>
      <c r="BM34" s="9"/>
      <c r="BN34" s="9"/>
      <c r="BO34" s="10"/>
      <c r="BP34" s="10"/>
      <c r="BQ34" s="10"/>
      <c r="BR34" s="10"/>
      <c r="BS34" s="11"/>
      <c r="BT34" s="57"/>
      <c r="BU34" s="5"/>
      <c r="BV34" s="9"/>
      <c r="BW34" s="9"/>
      <c r="BX34" s="9"/>
      <c r="BY34" s="9"/>
      <c r="BZ34" s="9"/>
      <c r="CA34" s="9"/>
      <c r="CB34" s="10"/>
      <c r="CC34" s="10"/>
      <c r="CD34" s="10"/>
      <c r="CE34" s="10"/>
      <c r="CF34" s="10"/>
      <c r="CG34" s="11"/>
      <c r="CH34" s="61"/>
      <c r="CI34" s="182"/>
      <c r="CJ34" s="52"/>
      <c r="CK34" s="211"/>
      <c r="CL34" s="213"/>
      <c r="CM34" s="215"/>
      <c r="CN34" s="185"/>
      <c r="CO34" s="185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 s="4" customFormat="1" ht="11.45" customHeight="1" x14ac:dyDescent="0.2">
      <c r="A35" s="182"/>
      <c r="B35" s="44"/>
      <c r="C35" s="12"/>
      <c r="D35" s="13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57"/>
      <c r="Q35" s="12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  <c r="AC35" s="15"/>
      <c r="AD35" s="57"/>
      <c r="AE35" s="12"/>
      <c r="AF35" s="13"/>
      <c r="AG35" s="13"/>
      <c r="AH35" s="13"/>
      <c r="AI35" s="13"/>
      <c r="AJ35" s="13"/>
      <c r="AK35" s="13"/>
      <c r="AL35" s="13"/>
      <c r="AM35" s="14"/>
      <c r="AN35" s="14"/>
      <c r="AO35" s="14"/>
      <c r="AP35" s="14"/>
      <c r="AQ35" s="15"/>
      <c r="AR35" s="57"/>
      <c r="AS35" s="12"/>
      <c r="AT35" s="13"/>
      <c r="AU35" s="13"/>
      <c r="AV35" s="13"/>
      <c r="AW35" s="13"/>
      <c r="AX35" s="13"/>
      <c r="AY35" s="13"/>
      <c r="AZ35" s="14"/>
      <c r="BA35" s="14"/>
      <c r="BB35" s="14"/>
      <c r="BC35" s="14"/>
      <c r="BD35" s="14"/>
      <c r="BE35" s="15"/>
      <c r="BF35" s="57"/>
      <c r="BG35" s="12"/>
      <c r="BH35" s="13"/>
      <c r="BI35" s="13"/>
      <c r="BJ35" s="13"/>
      <c r="BK35" s="13"/>
      <c r="BL35" s="13"/>
      <c r="BM35" s="13"/>
      <c r="BN35" s="13"/>
      <c r="BO35" s="14"/>
      <c r="BP35" s="14"/>
      <c r="BQ35" s="14"/>
      <c r="BR35" s="14"/>
      <c r="BS35" s="15"/>
      <c r="BT35" s="57"/>
      <c r="BU35" s="12"/>
      <c r="BV35" s="13"/>
      <c r="BW35" s="13"/>
      <c r="BX35" s="13"/>
      <c r="BY35" s="13"/>
      <c r="BZ35" s="13"/>
      <c r="CA35" s="13"/>
      <c r="CB35" s="14"/>
      <c r="CC35" s="14"/>
      <c r="CD35" s="14"/>
      <c r="CE35" s="14"/>
      <c r="CF35" s="14"/>
      <c r="CG35" s="15"/>
      <c r="CH35" s="61"/>
      <c r="CI35" s="182"/>
      <c r="CJ35" s="52"/>
      <c r="CK35" s="212"/>
      <c r="CL35" s="214"/>
      <c r="CM35" s="216"/>
      <c r="CN35" s="186"/>
      <c r="CO35" s="186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 s="4" customFormat="1" ht="11.45" customHeight="1" x14ac:dyDescent="0.2">
      <c r="A36" s="182">
        <v>1300</v>
      </c>
      <c r="B36" s="44"/>
      <c r="C36" s="5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57"/>
      <c r="Q36" s="5"/>
      <c r="R36" s="9"/>
      <c r="S36" s="9"/>
      <c r="T36" s="9"/>
      <c r="U36" s="9"/>
      <c r="V36" s="9"/>
      <c r="W36" s="9"/>
      <c r="X36" s="9"/>
      <c r="Y36" s="9"/>
      <c r="Z36" s="9"/>
      <c r="AA36" s="10"/>
      <c r="AB36" s="10"/>
      <c r="AC36" s="11"/>
      <c r="AD36" s="57"/>
      <c r="AE36" s="5"/>
      <c r="AF36" s="9"/>
      <c r="AG36" s="9"/>
      <c r="AH36" s="9"/>
      <c r="AI36" s="9"/>
      <c r="AJ36" s="9"/>
      <c r="AK36" s="9"/>
      <c r="AL36" s="9"/>
      <c r="AM36" s="10"/>
      <c r="AN36" s="10"/>
      <c r="AO36" s="10"/>
      <c r="AP36" s="10"/>
      <c r="AQ36" s="11"/>
      <c r="AR36" s="57"/>
      <c r="AS36" s="5"/>
      <c r="AT36" s="9"/>
      <c r="AU36" s="9"/>
      <c r="AV36" s="9"/>
      <c r="AW36" s="9"/>
      <c r="AX36" s="9"/>
      <c r="AY36" s="9"/>
      <c r="AZ36" s="10"/>
      <c r="BA36" s="10"/>
      <c r="BB36" s="10"/>
      <c r="BC36" s="10"/>
      <c r="BD36" s="10"/>
      <c r="BE36" s="11"/>
      <c r="BF36" s="57"/>
      <c r="BG36" s="5"/>
      <c r="BH36" s="9"/>
      <c r="BI36" s="9"/>
      <c r="BJ36" s="9"/>
      <c r="BK36" s="9"/>
      <c r="BL36" s="9"/>
      <c r="BM36" s="9"/>
      <c r="BN36" s="9"/>
      <c r="BO36" s="10"/>
      <c r="BP36" s="10"/>
      <c r="BQ36" s="10"/>
      <c r="BR36" s="10"/>
      <c r="BS36" s="11"/>
      <c r="BT36" s="57"/>
      <c r="BU36" s="5"/>
      <c r="BV36" s="9"/>
      <c r="BW36" s="9"/>
      <c r="BX36" s="9"/>
      <c r="BY36" s="9"/>
      <c r="BZ36" s="9"/>
      <c r="CA36" s="9"/>
      <c r="CB36" s="10"/>
      <c r="CC36" s="10"/>
      <c r="CD36" s="10"/>
      <c r="CE36" s="10"/>
      <c r="CF36" s="10"/>
      <c r="CG36" s="11"/>
      <c r="CH36" s="61"/>
      <c r="CI36" s="182">
        <v>1300</v>
      </c>
      <c r="CJ36" s="52"/>
      <c r="CK36" s="264"/>
      <c r="CL36" s="266"/>
      <c r="CM36" s="215"/>
      <c r="CN36" s="215"/>
      <c r="CO36" s="215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7" spans="1:143" s="4" customFormat="1" ht="11.45" customHeight="1" x14ac:dyDescent="0.2">
      <c r="A37" s="182"/>
      <c r="B37" s="44"/>
      <c r="C37" s="12"/>
      <c r="D37" s="13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57"/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  <c r="AC37" s="15"/>
      <c r="AD37" s="57"/>
      <c r="AE37" s="12"/>
      <c r="AF37" s="13"/>
      <c r="AG37" s="13"/>
      <c r="AH37" s="13"/>
      <c r="AI37" s="13"/>
      <c r="AJ37" s="13"/>
      <c r="AK37" s="13"/>
      <c r="AL37" s="13"/>
      <c r="AM37" s="14"/>
      <c r="AN37" s="14"/>
      <c r="AO37" s="14"/>
      <c r="AP37" s="14"/>
      <c r="AQ37" s="15"/>
      <c r="AR37" s="57"/>
      <c r="AS37" s="12"/>
      <c r="AT37" s="13"/>
      <c r="AU37" s="13"/>
      <c r="AV37" s="13"/>
      <c r="AW37" s="13"/>
      <c r="AX37" s="13"/>
      <c r="AY37" s="13"/>
      <c r="AZ37" s="14"/>
      <c r="BA37" s="14"/>
      <c r="BB37" s="14"/>
      <c r="BC37" s="14"/>
      <c r="BD37" s="14"/>
      <c r="BE37" s="15"/>
      <c r="BF37" s="57"/>
      <c r="BG37" s="12"/>
      <c r="BH37" s="13"/>
      <c r="BI37" s="13"/>
      <c r="BJ37" s="13"/>
      <c r="BK37" s="13"/>
      <c r="BL37" s="13"/>
      <c r="BM37" s="13"/>
      <c r="BN37" s="13"/>
      <c r="BO37" s="14"/>
      <c r="BP37" s="14"/>
      <c r="BQ37" s="14"/>
      <c r="BR37" s="14"/>
      <c r="BS37" s="15"/>
      <c r="BT37" s="57"/>
      <c r="BU37" s="12"/>
      <c r="BV37" s="13"/>
      <c r="BW37" s="13"/>
      <c r="BX37" s="13"/>
      <c r="BY37" s="13"/>
      <c r="BZ37" s="13"/>
      <c r="CA37" s="13"/>
      <c r="CB37" s="14"/>
      <c r="CC37" s="14"/>
      <c r="CD37" s="14"/>
      <c r="CE37" s="14"/>
      <c r="CF37" s="14"/>
      <c r="CG37" s="15"/>
      <c r="CH37" s="61"/>
      <c r="CI37" s="182"/>
      <c r="CJ37" s="52"/>
      <c r="CK37" s="265"/>
      <c r="CL37" s="267"/>
      <c r="CM37" s="216"/>
      <c r="CN37" s="216"/>
      <c r="CO37" s="216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</row>
    <row r="38" spans="1:143" s="4" customFormat="1" ht="11.45" customHeight="1" x14ac:dyDescent="0.2">
      <c r="A38" s="182"/>
      <c r="B38" s="44"/>
      <c r="C38" s="5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57"/>
      <c r="Q38" s="5"/>
      <c r="R38" s="9"/>
      <c r="S38" s="9"/>
      <c r="T38" s="9"/>
      <c r="U38" s="9"/>
      <c r="V38" s="9"/>
      <c r="W38" s="9"/>
      <c r="X38" s="9"/>
      <c r="Y38" s="9"/>
      <c r="Z38" s="9"/>
      <c r="AA38" s="10"/>
      <c r="AB38" s="10"/>
      <c r="AC38" s="11"/>
      <c r="AD38" s="57"/>
      <c r="AE38" s="5"/>
      <c r="AF38" s="9"/>
      <c r="AG38" s="9"/>
      <c r="AH38" s="9"/>
      <c r="AI38" s="9"/>
      <c r="AJ38" s="9"/>
      <c r="AK38" s="9"/>
      <c r="AL38" s="9"/>
      <c r="AM38" s="10"/>
      <c r="AN38" s="10"/>
      <c r="AO38" s="10"/>
      <c r="AP38" s="10"/>
      <c r="AQ38" s="11"/>
      <c r="AR38" s="57"/>
      <c r="AS38" s="5"/>
      <c r="AT38" s="9"/>
      <c r="AU38" s="9"/>
      <c r="AV38" s="9"/>
      <c r="AW38" s="9"/>
      <c r="AX38" s="9"/>
      <c r="AY38" s="9"/>
      <c r="AZ38" s="10"/>
      <c r="BA38" s="10"/>
      <c r="BB38" s="10"/>
      <c r="BC38" s="10"/>
      <c r="BD38" s="130"/>
      <c r="BE38" s="11"/>
      <c r="BF38" s="57"/>
      <c r="BG38" s="5"/>
      <c r="BH38" s="9"/>
      <c r="BI38" s="9"/>
      <c r="BJ38" s="9"/>
      <c r="BK38" s="9"/>
      <c r="BL38" s="9"/>
      <c r="BM38" s="9"/>
      <c r="BN38" s="9"/>
      <c r="BO38" s="10"/>
      <c r="BP38" s="10"/>
      <c r="BQ38" s="10"/>
      <c r="BR38" s="10"/>
      <c r="BS38" s="11"/>
      <c r="BT38" s="57"/>
      <c r="BU38" s="5"/>
      <c r="BV38" s="9"/>
      <c r="BW38" s="9"/>
      <c r="BX38" s="9"/>
      <c r="BY38" s="9"/>
      <c r="BZ38" s="9"/>
      <c r="CA38" s="9"/>
      <c r="CB38" s="10"/>
      <c r="CC38" s="10"/>
      <c r="CD38" s="10"/>
      <c r="CE38" s="10"/>
      <c r="CF38" s="10"/>
      <c r="CG38" s="11"/>
      <c r="CH38" s="61"/>
      <c r="CI38" s="182"/>
      <c r="CJ38" s="52"/>
      <c r="CK38" s="211"/>
      <c r="CL38" s="213"/>
      <c r="CM38" s="215"/>
      <c r="CN38" s="185"/>
      <c r="CO38" s="185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</row>
    <row r="39" spans="1:143" s="4" customFormat="1" ht="11.45" customHeight="1" x14ac:dyDescent="0.2">
      <c r="A39" s="182"/>
      <c r="B39" s="44"/>
      <c r="C39" s="12"/>
      <c r="D39" s="13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57"/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  <c r="AC39" s="15"/>
      <c r="AD39" s="57"/>
      <c r="AE39" s="12"/>
      <c r="AF39" s="13"/>
      <c r="AG39" s="13"/>
      <c r="AH39" s="13"/>
      <c r="AI39" s="13"/>
      <c r="AJ39" s="13"/>
      <c r="AK39" s="13"/>
      <c r="AL39" s="13"/>
      <c r="AM39" s="14"/>
      <c r="AN39" s="14"/>
      <c r="AO39" s="14"/>
      <c r="AP39" s="14"/>
      <c r="AQ39" s="15"/>
      <c r="AR39" s="57"/>
      <c r="AS39" s="12"/>
      <c r="AT39" s="13"/>
      <c r="AU39" s="13"/>
      <c r="AV39" s="13"/>
      <c r="AW39" s="13"/>
      <c r="AX39" s="13"/>
      <c r="AY39" s="13"/>
      <c r="AZ39" s="14"/>
      <c r="BA39" s="14"/>
      <c r="BB39" s="14"/>
      <c r="BC39" s="14"/>
      <c r="BD39" s="14"/>
      <c r="BE39" s="15"/>
      <c r="BF39" s="57"/>
      <c r="BG39" s="12"/>
      <c r="BH39" s="13"/>
      <c r="BI39" s="13"/>
      <c r="BJ39" s="13"/>
      <c r="BK39" s="13"/>
      <c r="BL39" s="13"/>
      <c r="BM39" s="13"/>
      <c r="BN39" s="13"/>
      <c r="BO39" s="14"/>
      <c r="BP39" s="14"/>
      <c r="BQ39" s="14"/>
      <c r="BR39" s="14"/>
      <c r="BS39" s="15"/>
      <c r="BT39" s="57"/>
      <c r="BU39" s="25"/>
      <c r="BV39" s="6"/>
      <c r="BW39" s="6"/>
      <c r="BX39" s="6"/>
      <c r="BY39" s="6"/>
      <c r="BZ39" s="6"/>
      <c r="CA39" s="6"/>
      <c r="CB39" s="86"/>
      <c r="CC39" s="86"/>
      <c r="CD39" s="86"/>
      <c r="CE39" s="86"/>
      <c r="CF39" s="86"/>
      <c r="CG39" s="87"/>
      <c r="CH39" s="61"/>
      <c r="CI39" s="182"/>
      <c r="CJ39" s="52"/>
      <c r="CK39" s="212"/>
      <c r="CL39" s="214"/>
      <c r="CM39" s="216"/>
      <c r="CN39" s="186"/>
      <c r="CO39" s="186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</row>
    <row r="40" spans="1:143" s="4" customFormat="1" ht="11.45" customHeight="1" x14ac:dyDescent="0.2">
      <c r="A40" s="182">
        <v>1400</v>
      </c>
      <c r="B40" s="44"/>
      <c r="C40" s="5"/>
      <c r="D40" s="9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1"/>
      <c r="P40" s="57"/>
      <c r="Q40" s="5"/>
      <c r="R40" s="9"/>
      <c r="S40" s="9"/>
      <c r="T40" s="9"/>
      <c r="U40" s="9"/>
      <c r="V40" s="9"/>
      <c r="W40" s="9"/>
      <c r="X40" s="9"/>
      <c r="Y40" s="9"/>
      <c r="Z40" s="9"/>
      <c r="AA40" s="10"/>
      <c r="AB40" s="10"/>
      <c r="AC40" s="11"/>
      <c r="AD40" s="57"/>
      <c r="AE40" s="5"/>
      <c r="AF40" s="9"/>
      <c r="AG40" s="9"/>
      <c r="AH40" s="9"/>
      <c r="AI40" s="9"/>
      <c r="AJ40" s="9"/>
      <c r="AK40" s="9"/>
      <c r="AL40" s="9"/>
      <c r="AM40" s="10"/>
      <c r="AN40" s="10"/>
      <c r="AO40" s="10"/>
      <c r="AP40" s="10"/>
      <c r="AQ40" s="11"/>
      <c r="AR40" s="57"/>
      <c r="AS40" s="5"/>
      <c r="AT40" s="9"/>
      <c r="AU40" s="9"/>
      <c r="AV40" s="9"/>
      <c r="AW40" s="9"/>
      <c r="AX40" s="9"/>
      <c r="AY40" s="9"/>
      <c r="AZ40" s="10"/>
      <c r="BA40" s="10"/>
      <c r="BB40" s="10"/>
      <c r="BC40" s="10"/>
      <c r="BD40" s="10"/>
      <c r="BE40" s="11"/>
      <c r="BF40" s="57"/>
      <c r="BG40" s="5"/>
      <c r="BH40" s="9"/>
      <c r="BI40" s="9"/>
      <c r="BJ40" s="9"/>
      <c r="BK40" s="9"/>
      <c r="BL40" s="9"/>
      <c r="BM40" s="9"/>
      <c r="BN40" s="9"/>
      <c r="BO40" s="10"/>
      <c r="BP40" s="10"/>
      <c r="BQ40" s="10"/>
      <c r="BR40" s="10"/>
      <c r="BS40" s="11"/>
      <c r="BT40" s="57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9"/>
      <c r="CH40" s="61"/>
      <c r="CI40" s="182">
        <v>1400</v>
      </c>
      <c r="CJ40" s="52"/>
      <c r="CK40" s="211"/>
      <c r="CL40" s="213"/>
      <c r="CM40" s="215"/>
      <c r="CN40" s="185"/>
      <c r="CO40" s="185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</row>
    <row r="41" spans="1:143" s="4" customFormat="1" ht="11.45" customHeight="1" x14ac:dyDescent="0.2">
      <c r="A41" s="182"/>
      <c r="B41" s="44"/>
      <c r="C41" s="12"/>
      <c r="D41" s="13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57"/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  <c r="AC41" s="15"/>
      <c r="AD41" s="57"/>
      <c r="AE41" s="12"/>
      <c r="AF41" s="13"/>
      <c r="AG41" s="13"/>
      <c r="AH41" s="13"/>
      <c r="AI41" s="13"/>
      <c r="AJ41" s="13"/>
      <c r="AK41" s="13"/>
      <c r="AL41" s="13"/>
      <c r="AM41" s="14"/>
      <c r="AN41" s="14"/>
      <c r="AO41" s="14"/>
      <c r="AP41" s="14"/>
      <c r="AQ41" s="15"/>
      <c r="AR41" s="57"/>
      <c r="AS41" s="12"/>
      <c r="AT41" s="13"/>
      <c r="AU41" s="13"/>
      <c r="AV41" s="13"/>
      <c r="AW41" s="13"/>
      <c r="AX41" s="13"/>
      <c r="AY41" s="13"/>
      <c r="AZ41" s="14"/>
      <c r="BA41" s="14"/>
      <c r="BB41" s="14"/>
      <c r="BC41" s="14"/>
      <c r="BD41" s="14"/>
      <c r="BE41" s="15"/>
      <c r="BF41" s="57"/>
      <c r="BG41" s="12"/>
      <c r="BH41" s="13"/>
      <c r="BI41" s="13"/>
      <c r="BJ41" s="13"/>
      <c r="BK41" s="13"/>
      <c r="BL41" s="13"/>
      <c r="BM41" s="13"/>
      <c r="BN41" s="13"/>
      <c r="BO41" s="14"/>
      <c r="BP41" s="14"/>
      <c r="BQ41" s="14"/>
      <c r="BR41" s="14"/>
      <c r="BS41" s="15"/>
      <c r="BT41" s="57"/>
      <c r="BU41" s="217" t="s">
        <v>42</v>
      </c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9"/>
      <c r="CH41" s="62"/>
      <c r="CI41" s="182"/>
      <c r="CJ41" s="52"/>
      <c r="CK41" s="212"/>
      <c r="CL41" s="214"/>
      <c r="CM41" s="216"/>
      <c r="CN41" s="186"/>
      <c r="CO41" s="186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</row>
    <row r="42" spans="1:143" s="4" customFormat="1" ht="11.45" customHeight="1" x14ac:dyDescent="0.2">
      <c r="A42" s="182"/>
      <c r="B42" s="44"/>
      <c r="C42" s="5"/>
      <c r="D42" s="9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1"/>
      <c r="P42" s="57"/>
      <c r="Q42" s="5"/>
      <c r="R42" s="9"/>
      <c r="S42" s="9"/>
      <c r="T42" s="9"/>
      <c r="U42" s="9"/>
      <c r="V42" s="9"/>
      <c r="W42" s="9"/>
      <c r="X42" s="9"/>
      <c r="Y42" s="9"/>
      <c r="Z42" s="9"/>
      <c r="AA42" s="10"/>
      <c r="AB42" s="10"/>
      <c r="AC42" s="11"/>
      <c r="AD42" s="57"/>
      <c r="AE42" s="5"/>
      <c r="AF42" s="9"/>
      <c r="AG42" s="9"/>
      <c r="AH42" s="9"/>
      <c r="AI42" s="9"/>
      <c r="AJ42" s="9"/>
      <c r="AK42" s="9"/>
      <c r="AL42" s="9"/>
      <c r="AM42" s="10"/>
      <c r="AN42" s="10"/>
      <c r="AO42" s="10"/>
      <c r="AP42" s="10"/>
      <c r="AQ42" s="11"/>
      <c r="AR42" s="57"/>
      <c r="AS42" s="5"/>
      <c r="AT42" s="9"/>
      <c r="AU42" s="9"/>
      <c r="AV42" s="9"/>
      <c r="AW42" s="9"/>
      <c r="AX42" s="9"/>
      <c r="AY42" s="9"/>
      <c r="AZ42" s="10"/>
      <c r="BA42" s="10"/>
      <c r="BB42" s="10"/>
      <c r="BC42" s="10"/>
      <c r="BD42" s="10"/>
      <c r="BE42" s="11"/>
      <c r="BF42" s="57"/>
      <c r="BG42" s="5"/>
      <c r="BH42" s="9"/>
      <c r="BI42" s="9"/>
      <c r="BJ42" s="9"/>
      <c r="BK42" s="9"/>
      <c r="BL42" s="9"/>
      <c r="BM42" s="9"/>
      <c r="BN42" s="9"/>
      <c r="BO42" s="10"/>
      <c r="BP42" s="10"/>
      <c r="BQ42" s="10"/>
      <c r="BR42" s="10"/>
      <c r="BS42" s="11"/>
      <c r="BT42" s="57"/>
      <c r="BU42" s="217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9"/>
      <c r="CH42" s="62"/>
      <c r="CI42" s="182"/>
      <c r="CJ42" s="52"/>
      <c r="CK42" s="211"/>
      <c r="CL42" s="213"/>
      <c r="CM42" s="215"/>
      <c r="CN42" s="185"/>
      <c r="CO42" s="185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</row>
    <row r="43" spans="1:143" s="4" customFormat="1" ht="11.45" customHeight="1" x14ac:dyDescent="0.2">
      <c r="A43" s="182"/>
      <c r="B43" s="44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5"/>
      <c r="P43" s="57"/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  <c r="AC43" s="15"/>
      <c r="AD43" s="57"/>
      <c r="AE43" s="12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24"/>
      <c r="AR43" s="57"/>
      <c r="AS43" s="12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24"/>
      <c r="BF43" s="57"/>
      <c r="BG43" s="12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5"/>
      <c r="BT43" s="57"/>
      <c r="BU43" s="205">
        <f>$U$3+6</f>
        <v>43996</v>
      </c>
      <c r="BV43" s="206"/>
      <c r="BW43" s="206"/>
      <c r="BX43" s="206"/>
      <c r="BY43" s="206"/>
      <c r="BZ43" s="206"/>
      <c r="CA43" s="206"/>
      <c r="CB43" s="206"/>
      <c r="CC43" s="206"/>
      <c r="CD43" s="206"/>
      <c r="CE43" s="206"/>
      <c r="CF43" s="206"/>
      <c r="CG43" s="207"/>
      <c r="CH43" s="63"/>
      <c r="CI43" s="182"/>
      <c r="CJ43" s="52"/>
      <c r="CK43" s="212"/>
      <c r="CL43" s="214"/>
      <c r="CM43" s="216"/>
      <c r="CN43" s="186"/>
      <c r="CO43" s="186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</row>
    <row r="44" spans="1:143" s="4" customFormat="1" ht="11.45" customHeight="1" x14ac:dyDescent="0.2">
      <c r="A44" s="182">
        <v>1500</v>
      </c>
      <c r="B44" s="44"/>
      <c r="C44" s="25"/>
      <c r="D44" s="6"/>
      <c r="E44" s="6"/>
      <c r="F44" s="9"/>
      <c r="G44" s="9"/>
      <c r="H44" s="9"/>
      <c r="I44" s="9"/>
      <c r="J44" s="9"/>
      <c r="K44" s="9"/>
      <c r="L44" s="9"/>
      <c r="M44" s="9"/>
      <c r="N44" s="10"/>
      <c r="O44" s="11"/>
      <c r="P44" s="57"/>
      <c r="Q44" s="5"/>
      <c r="R44" s="6"/>
      <c r="S44" s="6"/>
      <c r="T44" s="6"/>
      <c r="U44" s="6"/>
      <c r="V44" s="6"/>
      <c r="W44" s="6"/>
      <c r="X44" s="6"/>
      <c r="Y44" s="6"/>
      <c r="Z44" s="6"/>
      <c r="AA44" s="9"/>
      <c r="AB44" s="10"/>
      <c r="AC44" s="11"/>
      <c r="AD44" s="57"/>
      <c r="AE44" s="5"/>
      <c r="AF44" s="6"/>
      <c r="AG44" s="6"/>
      <c r="AH44" s="6"/>
      <c r="AI44" s="6"/>
      <c r="AJ44" s="6"/>
      <c r="AK44" s="6"/>
      <c r="AL44" s="6"/>
      <c r="AM44" s="9"/>
      <c r="AN44" s="9"/>
      <c r="AO44" s="9"/>
      <c r="AP44" s="9"/>
      <c r="AQ44" s="11"/>
      <c r="AR44" s="57"/>
      <c r="AS44" s="25"/>
      <c r="AT44" s="6"/>
      <c r="AU44" s="6"/>
      <c r="AV44" s="6"/>
      <c r="AW44" s="6"/>
      <c r="AX44" s="6"/>
      <c r="AY44" s="6"/>
      <c r="AZ44" s="9"/>
      <c r="BA44" s="9"/>
      <c r="BB44" s="9"/>
      <c r="BC44" s="9"/>
      <c r="BD44" s="9"/>
      <c r="BE44" s="11"/>
      <c r="BF44" s="57"/>
      <c r="BG44" s="25"/>
      <c r="BH44" s="6"/>
      <c r="BI44" s="6"/>
      <c r="BJ44" s="6"/>
      <c r="BK44" s="6"/>
      <c r="BL44" s="6"/>
      <c r="BM44" s="6"/>
      <c r="BN44" s="6"/>
      <c r="BO44" s="9"/>
      <c r="BP44" s="9"/>
      <c r="BQ44" s="9"/>
      <c r="BR44" s="9"/>
      <c r="BS44" s="11"/>
      <c r="BT44" s="57"/>
      <c r="BU44" s="208"/>
      <c r="BV44" s="209"/>
      <c r="BW44" s="209"/>
      <c r="BX44" s="209"/>
      <c r="BY44" s="209"/>
      <c r="BZ44" s="209"/>
      <c r="CA44" s="209"/>
      <c r="CB44" s="209"/>
      <c r="CC44" s="209"/>
      <c r="CD44" s="209"/>
      <c r="CE44" s="209"/>
      <c r="CF44" s="209"/>
      <c r="CG44" s="210"/>
      <c r="CH44" s="63"/>
      <c r="CI44" s="182">
        <v>1500</v>
      </c>
      <c r="CJ44" s="52"/>
      <c r="CK44" s="264"/>
      <c r="CL44" s="266"/>
      <c r="CM44" s="215"/>
      <c r="CN44" s="215"/>
      <c r="CO44" s="215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</row>
    <row r="45" spans="1:143" s="4" customFormat="1" ht="11.45" customHeight="1" x14ac:dyDescent="0.2">
      <c r="A45" s="182"/>
      <c r="B45" s="44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5"/>
      <c r="P45" s="57"/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15"/>
      <c r="AD45" s="57"/>
      <c r="AE45" s="12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5"/>
      <c r="AR45" s="57"/>
      <c r="AS45" s="12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5"/>
      <c r="BF45" s="57"/>
      <c r="BG45" s="12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5"/>
      <c r="BT45" s="57"/>
      <c r="BU45" s="12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5"/>
      <c r="CH45" s="61"/>
      <c r="CI45" s="182"/>
      <c r="CJ45" s="52"/>
      <c r="CK45" s="265"/>
      <c r="CL45" s="267"/>
      <c r="CM45" s="216"/>
      <c r="CN45" s="216"/>
      <c r="CO45" s="216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</row>
    <row r="46" spans="1:143" s="4" customFormat="1" ht="11.45" customHeight="1" x14ac:dyDescent="0.2">
      <c r="A46" s="182"/>
      <c r="B46" s="44"/>
      <c r="C46" s="25"/>
      <c r="D46" s="6"/>
      <c r="E46" s="6"/>
      <c r="F46" s="9"/>
      <c r="G46" s="9"/>
      <c r="H46" s="9"/>
      <c r="I46" s="9"/>
      <c r="J46" s="9"/>
      <c r="K46" s="9"/>
      <c r="L46" s="9"/>
      <c r="M46" s="9"/>
      <c r="N46" s="10"/>
      <c r="O46" s="11"/>
      <c r="P46" s="57"/>
      <c r="Q46" s="5"/>
      <c r="R46" s="6"/>
      <c r="S46" s="6"/>
      <c r="T46" s="6"/>
      <c r="U46" s="6"/>
      <c r="V46" s="6"/>
      <c r="W46" s="6"/>
      <c r="X46" s="6"/>
      <c r="Y46" s="6"/>
      <c r="Z46" s="6"/>
      <c r="AA46" s="9"/>
      <c r="AB46" s="10"/>
      <c r="AC46" s="11"/>
      <c r="AD46" s="57"/>
      <c r="AE46" s="5"/>
      <c r="AF46" s="6"/>
      <c r="AG46" s="6"/>
      <c r="AH46" s="6"/>
      <c r="AI46" s="6"/>
      <c r="AJ46" s="6"/>
      <c r="AK46" s="6"/>
      <c r="AL46" s="6"/>
      <c r="AM46" s="9"/>
      <c r="AN46" s="9"/>
      <c r="AO46" s="9"/>
      <c r="AP46" s="9"/>
      <c r="AQ46" s="11"/>
      <c r="AR46" s="57"/>
      <c r="AS46" s="25"/>
      <c r="AT46" s="6"/>
      <c r="AU46" s="6"/>
      <c r="AV46" s="6"/>
      <c r="AW46" s="6"/>
      <c r="AX46" s="6"/>
      <c r="AY46" s="6"/>
      <c r="AZ46" s="9"/>
      <c r="BA46" s="9"/>
      <c r="BB46" s="9"/>
      <c r="BC46" s="9"/>
      <c r="BD46" s="9"/>
      <c r="BE46" s="11"/>
      <c r="BF46" s="57"/>
      <c r="BG46" s="25"/>
      <c r="BH46" s="6"/>
      <c r="BI46" s="6"/>
      <c r="BJ46" s="6"/>
      <c r="BK46" s="6"/>
      <c r="BL46" s="6"/>
      <c r="BM46" s="6"/>
      <c r="BN46" s="6"/>
      <c r="BO46" s="9"/>
      <c r="BP46" s="9"/>
      <c r="BQ46" s="9"/>
      <c r="BR46" s="9"/>
      <c r="BS46" s="11"/>
      <c r="BT46" s="57"/>
      <c r="BU46" s="25"/>
      <c r="BV46" s="6"/>
      <c r="BW46" s="6"/>
      <c r="BX46" s="6"/>
      <c r="BY46" s="6"/>
      <c r="BZ46" s="6"/>
      <c r="CA46" s="6"/>
      <c r="CB46" s="9"/>
      <c r="CC46" s="9"/>
      <c r="CD46" s="9"/>
      <c r="CE46" s="9"/>
      <c r="CF46" s="9"/>
      <c r="CG46" s="11"/>
      <c r="CH46" s="61"/>
      <c r="CI46" s="182"/>
      <c r="CJ46" s="52"/>
      <c r="CK46" s="211"/>
      <c r="CL46" s="213"/>
      <c r="CM46" s="215"/>
      <c r="CN46" s="185"/>
      <c r="CO46" s="185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</row>
    <row r="47" spans="1:143" s="4" customFormat="1" ht="11.45" customHeight="1" x14ac:dyDescent="0.2">
      <c r="A47" s="182"/>
      <c r="B47" s="44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5"/>
      <c r="P47" s="57"/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4"/>
      <c r="AC47" s="15"/>
      <c r="AD47" s="57"/>
      <c r="AE47" s="12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5"/>
      <c r="AR47" s="57"/>
      <c r="AS47" s="12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5"/>
      <c r="BF47" s="57"/>
      <c r="BG47" s="12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5"/>
      <c r="BT47" s="57"/>
      <c r="BU47" s="12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5"/>
      <c r="CH47" s="61"/>
      <c r="CI47" s="182"/>
      <c r="CJ47" s="52"/>
      <c r="CK47" s="212"/>
      <c r="CL47" s="214"/>
      <c r="CM47" s="216"/>
      <c r="CN47" s="186"/>
      <c r="CO47" s="186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</row>
    <row r="48" spans="1:143" s="4" customFormat="1" ht="11.45" customHeight="1" x14ac:dyDescent="0.2">
      <c r="A48" s="182">
        <v>1600</v>
      </c>
      <c r="B48" s="44"/>
      <c r="C48" s="5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  <c r="O48" s="11"/>
      <c r="P48" s="57"/>
      <c r="Q48" s="5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11"/>
      <c r="AD48" s="57"/>
      <c r="AE48" s="5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11"/>
      <c r="AR48" s="57"/>
      <c r="AS48" s="5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11"/>
      <c r="BF48" s="57"/>
      <c r="BG48" s="5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11"/>
      <c r="BT48" s="57"/>
      <c r="BU48" s="5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11"/>
      <c r="CH48" s="61"/>
      <c r="CI48" s="182">
        <v>1600</v>
      </c>
      <c r="CJ48" s="52"/>
      <c r="CK48" s="211"/>
      <c r="CL48" s="213"/>
      <c r="CM48" s="215"/>
      <c r="CN48" s="185"/>
      <c r="CO48" s="185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1:143" s="4" customFormat="1" ht="11.45" customHeight="1" x14ac:dyDescent="0.2">
      <c r="A49" s="182"/>
      <c r="B49" s="44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5"/>
      <c r="P49" s="57"/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4"/>
      <c r="AC49" s="15"/>
      <c r="AD49" s="57"/>
      <c r="AE49" s="12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5"/>
      <c r="AR49" s="57"/>
      <c r="AS49" s="12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5"/>
      <c r="BF49" s="57"/>
      <c r="BG49" s="12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5"/>
      <c r="BT49" s="57"/>
      <c r="BU49" s="12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5"/>
      <c r="CH49" s="61"/>
      <c r="CI49" s="182"/>
      <c r="CJ49" s="52"/>
      <c r="CK49" s="212"/>
      <c r="CL49" s="214"/>
      <c r="CM49" s="216"/>
      <c r="CN49" s="186"/>
      <c r="CO49" s="186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1:143" s="4" customFormat="1" ht="11.45" customHeight="1" x14ac:dyDescent="0.2">
      <c r="A50" s="182"/>
      <c r="B50" s="44"/>
      <c r="C50" s="25"/>
      <c r="D50" s="6"/>
      <c r="E50" s="6"/>
      <c r="F50" s="9"/>
      <c r="G50" s="9"/>
      <c r="H50" s="9"/>
      <c r="I50" s="9"/>
      <c r="J50" s="9"/>
      <c r="K50" s="9"/>
      <c r="L50" s="9"/>
      <c r="M50" s="9"/>
      <c r="N50" s="10"/>
      <c r="O50" s="11"/>
      <c r="P50" s="57"/>
      <c r="Q50" s="5"/>
      <c r="R50" s="6"/>
      <c r="S50" s="6"/>
      <c r="T50" s="6"/>
      <c r="U50" s="6"/>
      <c r="V50" s="6"/>
      <c r="W50" s="6"/>
      <c r="X50" s="6"/>
      <c r="Y50" s="6"/>
      <c r="Z50" s="6"/>
      <c r="AA50" s="9"/>
      <c r="AB50" s="10"/>
      <c r="AC50" s="11"/>
      <c r="AD50" s="57"/>
      <c r="AE50" s="5"/>
      <c r="AF50" s="6"/>
      <c r="AG50" s="6"/>
      <c r="AH50" s="6"/>
      <c r="AI50" s="6"/>
      <c r="AJ50" s="6"/>
      <c r="AK50" s="6"/>
      <c r="AL50" s="6"/>
      <c r="AM50" s="9"/>
      <c r="AN50" s="9"/>
      <c r="AO50" s="9"/>
      <c r="AP50" s="9"/>
      <c r="AQ50" s="26"/>
      <c r="AR50" s="57"/>
      <c r="AS50" s="25"/>
      <c r="AT50" s="6"/>
      <c r="AU50" s="6"/>
      <c r="AV50" s="6"/>
      <c r="AW50" s="6"/>
      <c r="AX50" s="6"/>
      <c r="AY50" s="6"/>
      <c r="AZ50" s="9"/>
      <c r="BA50" s="9"/>
      <c r="BB50" s="9"/>
      <c r="BC50" s="9"/>
      <c r="BD50" s="9"/>
      <c r="BE50" s="26"/>
      <c r="BF50" s="57"/>
      <c r="BG50" s="25"/>
      <c r="BH50" s="6"/>
      <c r="BI50" s="6"/>
      <c r="BJ50" s="6"/>
      <c r="BK50" s="6"/>
      <c r="BL50" s="6"/>
      <c r="BM50" s="6"/>
      <c r="BN50" s="6"/>
      <c r="BO50" s="9"/>
      <c r="BP50" s="9"/>
      <c r="BQ50" s="9"/>
      <c r="BR50" s="9"/>
      <c r="BS50" s="11"/>
      <c r="BT50" s="57"/>
      <c r="BU50" s="25"/>
      <c r="BV50" s="6"/>
      <c r="BW50" s="6"/>
      <c r="BX50" s="6"/>
      <c r="BY50" s="6"/>
      <c r="BZ50" s="6"/>
      <c r="CA50" s="6"/>
      <c r="CB50" s="9"/>
      <c r="CC50" s="9"/>
      <c r="CD50" s="9"/>
      <c r="CE50" s="9"/>
      <c r="CF50" s="9"/>
      <c r="CG50" s="26"/>
      <c r="CH50" s="64"/>
      <c r="CI50" s="182"/>
      <c r="CJ50" s="52"/>
      <c r="CK50" s="211"/>
      <c r="CL50" s="213"/>
      <c r="CM50" s="215"/>
      <c r="CN50" s="185"/>
      <c r="CO50" s="185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1:143" s="4" customFormat="1" ht="11.45" customHeight="1" x14ac:dyDescent="0.2">
      <c r="A51" s="182"/>
      <c r="B51" s="44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5"/>
      <c r="P51" s="57"/>
      <c r="Q51" s="12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4"/>
      <c r="AC51" s="15"/>
      <c r="AD51" s="57"/>
      <c r="AE51" s="12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27"/>
      <c r="AR51" s="57"/>
      <c r="AS51" s="12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27"/>
      <c r="BF51" s="57"/>
      <c r="BG51" s="12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5"/>
      <c r="BT51" s="57"/>
      <c r="BU51" s="12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27"/>
      <c r="CH51" s="64"/>
      <c r="CI51" s="182"/>
      <c r="CJ51" s="52"/>
      <c r="CK51" s="212"/>
      <c r="CL51" s="214"/>
      <c r="CM51" s="216"/>
      <c r="CN51" s="186"/>
      <c r="CO51" s="186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</row>
    <row r="52" spans="1:143" s="4" customFormat="1" ht="11.45" customHeight="1" x14ac:dyDescent="0.2">
      <c r="A52" s="182">
        <v>1700</v>
      </c>
      <c r="B52" s="44"/>
      <c r="C52" s="25"/>
      <c r="D52" s="6"/>
      <c r="E52" s="6"/>
      <c r="F52" s="9"/>
      <c r="G52" s="9"/>
      <c r="H52" s="9"/>
      <c r="I52" s="9"/>
      <c r="J52" s="9"/>
      <c r="K52" s="9"/>
      <c r="L52" s="9"/>
      <c r="M52" s="9"/>
      <c r="N52" s="10"/>
      <c r="O52" s="11"/>
      <c r="P52" s="57"/>
      <c r="Q52" s="5"/>
      <c r="R52" s="6"/>
      <c r="S52" s="6"/>
      <c r="T52" s="6"/>
      <c r="U52" s="6"/>
      <c r="V52" s="6"/>
      <c r="W52" s="6"/>
      <c r="X52" s="6"/>
      <c r="Y52" s="6"/>
      <c r="Z52" s="6"/>
      <c r="AA52" s="9"/>
      <c r="AB52" s="10"/>
      <c r="AC52" s="11"/>
      <c r="AD52" s="57"/>
      <c r="AE52" s="5"/>
      <c r="AF52" s="6"/>
      <c r="AG52" s="6"/>
      <c r="AH52" s="6"/>
      <c r="AI52" s="6"/>
      <c r="AJ52" s="6"/>
      <c r="AK52" s="6"/>
      <c r="AL52" s="6"/>
      <c r="AM52" s="9"/>
      <c r="AN52" s="9"/>
      <c r="AO52" s="9"/>
      <c r="AP52" s="9"/>
      <c r="AQ52" s="11"/>
      <c r="AR52" s="57"/>
      <c r="AS52" s="25"/>
      <c r="AT52" s="6"/>
      <c r="AU52" s="6"/>
      <c r="AV52" s="6"/>
      <c r="AW52" s="6"/>
      <c r="AX52" s="6"/>
      <c r="AY52" s="6"/>
      <c r="AZ52" s="9"/>
      <c r="BA52" s="9"/>
      <c r="BB52" s="9"/>
      <c r="BC52" s="9"/>
      <c r="BD52" s="9"/>
      <c r="BE52" s="11"/>
      <c r="BF52" s="57"/>
      <c r="BG52" s="25"/>
      <c r="BH52" s="6"/>
      <c r="BI52" s="6"/>
      <c r="BJ52" s="6"/>
      <c r="BK52" s="6"/>
      <c r="BL52" s="6"/>
      <c r="BM52" s="6"/>
      <c r="BN52" s="6"/>
      <c r="BO52" s="9"/>
      <c r="BP52" s="9"/>
      <c r="BQ52" s="9"/>
      <c r="BR52" s="9"/>
      <c r="BS52" s="11"/>
      <c r="BT52" s="57"/>
      <c r="BU52" s="25"/>
      <c r="BV52" s="6"/>
      <c r="BW52" s="6"/>
      <c r="BX52" s="6"/>
      <c r="BY52" s="6"/>
      <c r="BZ52" s="6"/>
      <c r="CA52" s="6"/>
      <c r="CB52" s="9"/>
      <c r="CC52" s="9"/>
      <c r="CD52" s="9"/>
      <c r="CE52" s="9"/>
      <c r="CF52" s="9"/>
      <c r="CG52" s="11"/>
      <c r="CH52" s="61"/>
      <c r="CI52" s="182">
        <v>1700</v>
      </c>
      <c r="CJ52" s="52"/>
      <c r="CK52" s="69"/>
      <c r="CL52" s="59"/>
      <c r="CM52" s="59"/>
      <c r="CN52" s="59"/>
      <c r="CO52" s="60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</row>
    <row r="53" spans="1:143" s="4" customFormat="1" ht="11.45" customHeight="1" x14ac:dyDescent="0.2">
      <c r="A53" s="182"/>
      <c r="B53" s="44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5"/>
      <c r="P53" s="57"/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4"/>
      <c r="AC53" s="15"/>
      <c r="AD53" s="57"/>
      <c r="AE53" s="12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5"/>
      <c r="AR53" s="57"/>
      <c r="AS53" s="12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5"/>
      <c r="BF53" s="57"/>
      <c r="BG53" s="12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5"/>
      <c r="BT53" s="57"/>
      <c r="BU53" s="12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5"/>
      <c r="CH53" s="61"/>
      <c r="CI53" s="182"/>
      <c r="CJ53" s="52"/>
      <c r="CK53" s="187" t="s">
        <v>50</v>
      </c>
      <c r="CL53" s="188"/>
      <c r="CM53" s="188"/>
      <c r="CN53" s="188"/>
      <c r="CO53" s="189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</row>
    <row r="54" spans="1:143" s="4" customFormat="1" ht="11.45" customHeight="1" x14ac:dyDescent="0.2">
      <c r="A54" s="182"/>
      <c r="B54" s="44"/>
      <c r="C54" s="5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  <c r="O54" s="11"/>
      <c r="P54" s="57"/>
      <c r="Q54" s="5"/>
      <c r="R54" s="9"/>
      <c r="S54" s="9"/>
      <c r="T54" s="9"/>
      <c r="U54" s="9"/>
      <c r="V54" s="9"/>
      <c r="W54" s="9"/>
      <c r="X54" s="9"/>
      <c r="Y54" s="9"/>
      <c r="Z54" s="9"/>
      <c r="AA54" s="9"/>
      <c r="AB54" s="10"/>
      <c r="AC54" s="11"/>
      <c r="AD54" s="57"/>
      <c r="AE54" s="5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11"/>
      <c r="AR54" s="57"/>
      <c r="AS54" s="5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11"/>
      <c r="BF54" s="57"/>
      <c r="BG54" s="5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11"/>
      <c r="BT54" s="57"/>
      <c r="BU54" s="25"/>
      <c r="BV54" s="6"/>
      <c r="BW54" s="6"/>
      <c r="BX54" s="6"/>
      <c r="BY54" s="6"/>
      <c r="BZ54" s="6"/>
      <c r="CA54" s="6"/>
      <c r="CB54" s="9"/>
      <c r="CC54" s="9"/>
      <c r="CD54" s="9"/>
      <c r="CE54" s="9"/>
      <c r="CF54" s="9"/>
      <c r="CG54" s="11"/>
      <c r="CH54" s="61"/>
      <c r="CI54" s="182"/>
      <c r="CJ54" s="52"/>
      <c r="CK54" s="190"/>
      <c r="CL54" s="191"/>
      <c r="CM54" s="191"/>
      <c r="CN54" s="191"/>
      <c r="CO54" s="192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1:143" s="4" customFormat="1" ht="11.45" customHeight="1" x14ac:dyDescent="0.2">
      <c r="A55" s="182"/>
      <c r="B55" s="44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5"/>
      <c r="P55" s="57"/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4"/>
      <c r="AC55" s="15"/>
      <c r="AD55" s="57"/>
      <c r="AE55" s="12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5"/>
      <c r="AR55" s="57"/>
      <c r="AS55" s="12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5"/>
      <c r="BF55" s="57"/>
      <c r="BG55" s="12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5"/>
      <c r="BT55" s="57"/>
      <c r="BU55" s="12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5"/>
      <c r="CH55" s="61"/>
      <c r="CI55" s="182"/>
      <c r="CJ55" s="52"/>
      <c r="CK55" s="193" t="s">
        <v>125</v>
      </c>
      <c r="CL55" s="194"/>
      <c r="CM55" s="194"/>
      <c r="CN55" s="194"/>
      <c r="CO55" s="195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</row>
    <row r="56" spans="1:143" s="4" customFormat="1" ht="11.45" customHeight="1" x14ac:dyDescent="0.2">
      <c r="A56" s="182">
        <v>1800</v>
      </c>
      <c r="B56" s="44"/>
      <c r="C56" s="5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1"/>
      <c r="P56" s="57"/>
      <c r="Q56" s="5"/>
      <c r="R56" s="9"/>
      <c r="S56" s="9"/>
      <c r="T56" s="9"/>
      <c r="U56" s="9"/>
      <c r="V56" s="9"/>
      <c r="W56" s="9"/>
      <c r="X56" s="9"/>
      <c r="Y56" s="9"/>
      <c r="Z56" s="9"/>
      <c r="AA56" s="10"/>
      <c r="AB56" s="10"/>
      <c r="AC56" s="11"/>
      <c r="AD56" s="57"/>
      <c r="AE56" s="5"/>
      <c r="AF56" s="9"/>
      <c r="AG56" s="9"/>
      <c r="AH56" s="9"/>
      <c r="AI56" s="9"/>
      <c r="AJ56" s="9"/>
      <c r="AK56" s="9"/>
      <c r="AL56" s="9"/>
      <c r="AM56" s="10"/>
      <c r="AN56" s="10"/>
      <c r="AO56" s="10"/>
      <c r="AP56" s="10"/>
      <c r="AQ56" s="11"/>
      <c r="AR56" s="57"/>
      <c r="AS56" s="5"/>
      <c r="AT56" s="9"/>
      <c r="AU56" s="9"/>
      <c r="AV56" s="9"/>
      <c r="AW56" s="9"/>
      <c r="AX56" s="9"/>
      <c r="AY56" s="9"/>
      <c r="AZ56" s="10"/>
      <c r="BA56" s="10"/>
      <c r="BB56" s="10"/>
      <c r="BC56" s="10"/>
      <c r="BD56" s="10"/>
      <c r="BE56" s="11"/>
      <c r="BF56" s="57"/>
      <c r="BG56" s="5"/>
      <c r="BH56" s="9"/>
      <c r="BI56" s="9"/>
      <c r="BJ56" s="9"/>
      <c r="BK56" s="9"/>
      <c r="BL56" s="9"/>
      <c r="BM56" s="9"/>
      <c r="BN56" s="9"/>
      <c r="BO56" s="10"/>
      <c r="BP56" s="10"/>
      <c r="BQ56" s="10"/>
      <c r="BR56" s="10"/>
      <c r="BS56" s="11"/>
      <c r="BT56" s="57"/>
      <c r="BU56" s="25"/>
      <c r="BV56" s="6"/>
      <c r="BW56" s="6"/>
      <c r="BX56" s="6"/>
      <c r="BY56" s="6"/>
      <c r="BZ56" s="6"/>
      <c r="CA56" s="6"/>
      <c r="CB56" s="9"/>
      <c r="CC56" s="9"/>
      <c r="CD56" s="9"/>
      <c r="CE56" s="9"/>
      <c r="CF56" s="9"/>
      <c r="CG56" s="11"/>
      <c r="CH56" s="61"/>
      <c r="CI56" s="182">
        <v>1800</v>
      </c>
      <c r="CJ56" s="52"/>
      <c r="CK56" s="196"/>
      <c r="CL56" s="197"/>
      <c r="CM56" s="197"/>
      <c r="CN56" s="197"/>
      <c r="CO56" s="198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</row>
    <row r="57" spans="1:143" s="4" customFormat="1" ht="11.45" customHeight="1" x14ac:dyDescent="0.2">
      <c r="A57" s="182"/>
      <c r="B57" s="44"/>
      <c r="C57" s="12"/>
      <c r="D57" s="13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57"/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  <c r="AC57" s="15"/>
      <c r="AD57" s="57"/>
      <c r="AE57" s="12"/>
      <c r="AF57" s="13"/>
      <c r="AG57" s="13"/>
      <c r="AH57" s="13"/>
      <c r="AI57" s="13"/>
      <c r="AJ57" s="13"/>
      <c r="AK57" s="13"/>
      <c r="AL57" s="13"/>
      <c r="AM57" s="14"/>
      <c r="AN57" s="14"/>
      <c r="AO57" s="14"/>
      <c r="AP57" s="14"/>
      <c r="AQ57" s="15"/>
      <c r="AR57" s="57"/>
      <c r="AS57" s="12"/>
      <c r="AT57" s="13"/>
      <c r="AU57" s="13"/>
      <c r="AV57" s="13"/>
      <c r="AW57" s="13"/>
      <c r="AX57" s="13"/>
      <c r="AY57" s="13"/>
      <c r="AZ57" s="14"/>
      <c r="BA57" s="14"/>
      <c r="BB57" s="14"/>
      <c r="BC57" s="14"/>
      <c r="BD57" s="14"/>
      <c r="BE57" s="15"/>
      <c r="BF57" s="57"/>
      <c r="BG57" s="12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5"/>
      <c r="BT57" s="57"/>
      <c r="BU57" s="12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5"/>
      <c r="CH57" s="61"/>
      <c r="CI57" s="182"/>
      <c r="CJ57" s="52"/>
      <c r="CK57" s="193" t="s">
        <v>55</v>
      </c>
      <c r="CL57" s="194"/>
      <c r="CM57" s="194"/>
      <c r="CN57" s="194"/>
      <c r="CO57" s="195"/>
      <c r="CP57" s="3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</row>
    <row r="58" spans="1:143" s="4" customFormat="1" ht="11.45" customHeight="1" x14ac:dyDescent="0.2">
      <c r="A58" s="182"/>
      <c r="B58" s="44"/>
      <c r="C58" s="5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1"/>
      <c r="P58" s="57"/>
      <c r="Q58" s="5"/>
      <c r="R58" s="9"/>
      <c r="S58" s="9"/>
      <c r="T58" s="9"/>
      <c r="U58" s="9"/>
      <c r="V58" s="9"/>
      <c r="W58" s="9"/>
      <c r="X58" s="9"/>
      <c r="Y58" s="9"/>
      <c r="Z58" s="9"/>
      <c r="AA58" s="10"/>
      <c r="AB58" s="10"/>
      <c r="AC58" s="11"/>
      <c r="AD58" s="57"/>
      <c r="AE58" s="5"/>
      <c r="AF58" s="9"/>
      <c r="AG58" s="9"/>
      <c r="AH58" s="9"/>
      <c r="AI58" s="9"/>
      <c r="AJ58" s="9"/>
      <c r="AK58" s="9"/>
      <c r="AL58" s="9"/>
      <c r="AM58" s="10"/>
      <c r="AN58" s="10"/>
      <c r="AO58" s="10"/>
      <c r="AP58" s="10"/>
      <c r="AQ58" s="11"/>
      <c r="AR58" s="57"/>
      <c r="AS58" s="5"/>
      <c r="AT58" s="9"/>
      <c r="AU58" s="9"/>
      <c r="AV58" s="9"/>
      <c r="AW58" s="9"/>
      <c r="AX58" s="9"/>
      <c r="AY58" s="9"/>
      <c r="AZ58" s="10"/>
      <c r="BA58" s="10"/>
      <c r="BB58" s="10"/>
      <c r="BC58" s="10"/>
      <c r="BD58" s="10"/>
      <c r="BE58" s="11"/>
      <c r="BF58" s="57"/>
      <c r="BG58" s="5"/>
      <c r="BH58" s="9"/>
      <c r="BI58" s="9"/>
      <c r="BJ58" s="9"/>
      <c r="BK58" s="9"/>
      <c r="BL58" s="9"/>
      <c r="BM58" s="9"/>
      <c r="BN58" s="9"/>
      <c r="BO58" s="10"/>
      <c r="BP58" s="10"/>
      <c r="BQ58" s="10"/>
      <c r="BR58" s="10"/>
      <c r="BS58" s="11"/>
      <c r="BT58" s="57"/>
      <c r="BU58" s="25"/>
      <c r="BV58" s="6"/>
      <c r="BW58" s="6"/>
      <c r="BX58" s="6"/>
      <c r="BY58" s="6"/>
      <c r="BZ58" s="6"/>
      <c r="CA58" s="6"/>
      <c r="CB58" s="9"/>
      <c r="CC58" s="9"/>
      <c r="CD58" s="9"/>
      <c r="CE58" s="9"/>
      <c r="CF58" s="9"/>
      <c r="CG58" s="11"/>
      <c r="CH58" s="61"/>
      <c r="CI58" s="182"/>
      <c r="CJ58" s="52"/>
      <c r="CK58" s="196"/>
      <c r="CL58" s="197"/>
      <c r="CM58" s="197"/>
      <c r="CN58" s="197"/>
      <c r="CO58" s="198"/>
      <c r="CP58" s="3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</row>
    <row r="59" spans="1:143" s="4" customFormat="1" ht="11.45" customHeight="1" x14ac:dyDescent="0.2">
      <c r="A59" s="182"/>
      <c r="B59" s="44"/>
      <c r="C59" s="12"/>
      <c r="D59" s="13"/>
      <c r="E59" s="13"/>
      <c r="F59" s="14"/>
      <c r="G59" s="14"/>
      <c r="H59" s="14"/>
      <c r="I59" s="14"/>
      <c r="J59" s="14"/>
      <c r="K59" s="14"/>
      <c r="L59" s="10"/>
      <c r="M59" s="14"/>
      <c r="N59" s="14"/>
      <c r="O59" s="15"/>
      <c r="P59" s="57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  <c r="AC59" s="15"/>
      <c r="AD59" s="57"/>
      <c r="AE59" s="12"/>
      <c r="AF59" s="13"/>
      <c r="AG59" s="13"/>
      <c r="AH59" s="13"/>
      <c r="AI59" s="13"/>
      <c r="AJ59" s="13"/>
      <c r="AK59" s="13"/>
      <c r="AL59" s="13"/>
      <c r="AM59" s="14"/>
      <c r="AN59" s="14"/>
      <c r="AO59" s="14"/>
      <c r="AP59" s="14"/>
      <c r="AQ59" s="15"/>
      <c r="AR59" s="57"/>
      <c r="AS59" s="12"/>
      <c r="AT59" s="13"/>
      <c r="AU59" s="13"/>
      <c r="AV59" s="13"/>
      <c r="AW59" s="13"/>
      <c r="AX59" s="13"/>
      <c r="AY59" s="13"/>
      <c r="AZ59" s="14"/>
      <c r="BA59" s="14"/>
      <c r="BB59" s="14"/>
      <c r="BC59" s="14"/>
      <c r="BD59" s="14"/>
      <c r="BE59" s="15"/>
      <c r="BF59" s="57"/>
      <c r="BG59" s="12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5"/>
      <c r="BT59" s="57"/>
      <c r="BU59" s="12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5"/>
      <c r="CH59" s="61"/>
      <c r="CI59" s="182"/>
      <c r="CJ59" s="52"/>
      <c r="CK59" s="193" t="s">
        <v>111</v>
      </c>
      <c r="CL59" s="194"/>
      <c r="CM59" s="194"/>
      <c r="CN59" s="194"/>
      <c r="CO59" s="195"/>
      <c r="CP59" s="3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</row>
    <row r="60" spans="1:143" s="4" customFormat="1" ht="11.45" customHeight="1" x14ac:dyDescent="0.2">
      <c r="A60" s="182">
        <v>1900</v>
      </c>
      <c r="B60" s="44"/>
      <c r="C60" s="5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1"/>
      <c r="P60" s="57"/>
      <c r="Q60" s="5"/>
      <c r="R60" s="9"/>
      <c r="S60" s="9"/>
      <c r="T60" s="9"/>
      <c r="U60" s="9"/>
      <c r="V60" s="9"/>
      <c r="W60" s="9"/>
      <c r="X60" s="9"/>
      <c r="Y60" s="9"/>
      <c r="Z60" s="9"/>
      <c r="AA60" s="10"/>
      <c r="AB60" s="10"/>
      <c r="AC60" s="11"/>
      <c r="AD60" s="57"/>
      <c r="AE60" s="5"/>
      <c r="AF60" s="9"/>
      <c r="AG60" s="9"/>
      <c r="AH60" s="9"/>
      <c r="AI60" s="9"/>
      <c r="AJ60" s="9"/>
      <c r="AK60" s="9"/>
      <c r="AL60" s="9"/>
      <c r="AM60" s="10"/>
      <c r="AN60" s="10"/>
      <c r="AO60" s="10"/>
      <c r="AP60" s="10"/>
      <c r="AQ60" s="11"/>
      <c r="AR60" s="57"/>
      <c r="AS60" s="5"/>
      <c r="AT60" s="9"/>
      <c r="AU60" s="9"/>
      <c r="AV60" s="9"/>
      <c r="AW60" s="9"/>
      <c r="AX60" s="9"/>
      <c r="AY60" s="9"/>
      <c r="AZ60" s="10"/>
      <c r="BA60" s="10"/>
      <c r="BB60" s="10"/>
      <c r="BC60" s="10"/>
      <c r="BD60" s="10"/>
      <c r="BE60" s="11"/>
      <c r="BF60" s="57"/>
      <c r="BG60" s="5"/>
      <c r="BH60" s="9"/>
      <c r="BI60" s="9"/>
      <c r="BJ60" s="9"/>
      <c r="BK60" s="9"/>
      <c r="BL60" s="9"/>
      <c r="BM60" s="9"/>
      <c r="BN60" s="9"/>
      <c r="BO60" s="10"/>
      <c r="BP60" s="10"/>
      <c r="BQ60" s="10"/>
      <c r="BR60" s="10"/>
      <c r="BS60" s="11"/>
      <c r="BT60" s="57"/>
      <c r="BU60" s="25"/>
      <c r="BV60" s="6"/>
      <c r="BW60" s="6"/>
      <c r="BX60" s="6"/>
      <c r="BY60" s="6"/>
      <c r="BZ60" s="6"/>
      <c r="CA60" s="6"/>
      <c r="CB60" s="9"/>
      <c r="CC60" s="9"/>
      <c r="CD60" s="9"/>
      <c r="CE60" s="9"/>
      <c r="CF60" s="9"/>
      <c r="CG60" s="11"/>
      <c r="CH60" s="61"/>
      <c r="CI60" s="182">
        <v>1900</v>
      </c>
      <c r="CJ60" s="52"/>
      <c r="CK60" s="196"/>
      <c r="CL60" s="197"/>
      <c r="CM60" s="197"/>
      <c r="CN60" s="197"/>
      <c r="CO60" s="198"/>
      <c r="CP60" s="3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</row>
    <row r="61" spans="1:143" s="4" customFormat="1" ht="11.45" customHeight="1" x14ac:dyDescent="0.2">
      <c r="A61" s="182"/>
      <c r="B61" s="44"/>
      <c r="C61" s="12"/>
      <c r="D61" s="13"/>
      <c r="E61" s="13"/>
      <c r="F61" s="14"/>
      <c r="G61" s="14"/>
      <c r="H61" s="14"/>
      <c r="I61" s="14"/>
      <c r="J61" s="14"/>
      <c r="K61" s="14"/>
      <c r="L61" s="10"/>
      <c r="M61" s="14"/>
      <c r="N61" s="14"/>
      <c r="O61" s="15"/>
      <c r="P61" s="57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  <c r="AC61" s="15"/>
      <c r="AD61" s="57"/>
      <c r="AE61" s="12"/>
      <c r="AF61" s="13"/>
      <c r="AG61" s="13"/>
      <c r="AH61" s="13"/>
      <c r="AI61" s="13"/>
      <c r="AJ61" s="13"/>
      <c r="AK61" s="13"/>
      <c r="AL61" s="13"/>
      <c r="AM61" s="14"/>
      <c r="AN61" s="14"/>
      <c r="AO61" s="14"/>
      <c r="AP61" s="14"/>
      <c r="AQ61" s="15"/>
      <c r="AR61" s="57"/>
      <c r="AS61" s="12"/>
      <c r="AT61" s="13"/>
      <c r="AU61" s="13"/>
      <c r="AV61" s="13"/>
      <c r="AW61" s="13"/>
      <c r="AX61" s="13"/>
      <c r="AY61" s="13"/>
      <c r="AZ61" s="14"/>
      <c r="BA61" s="14"/>
      <c r="BB61" s="14"/>
      <c r="BC61" s="14"/>
      <c r="BD61" s="14"/>
      <c r="BE61" s="15"/>
      <c r="BF61" s="57"/>
      <c r="BG61" s="12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5"/>
      <c r="BT61" s="57"/>
      <c r="BU61" s="12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5"/>
      <c r="CH61" s="61"/>
      <c r="CI61" s="182"/>
      <c r="CJ61" s="52"/>
      <c r="CK61" s="193" t="s">
        <v>97</v>
      </c>
      <c r="CL61" s="194"/>
      <c r="CM61" s="194"/>
      <c r="CN61" s="194"/>
      <c r="CO61" s="195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1:143" s="4" customFormat="1" ht="11.45" customHeight="1" x14ac:dyDescent="0.2">
      <c r="A62" s="182"/>
      <c r="B62" s="44"/>
      <c r="C62" s="5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1"/>
      <c r="P62" s="57"/>
      <c r="Q62" s="5"/>
      <c r="R62" s="9"/>
      <c r="S62" s="9"/>
      <c r="T62" s="9"/>
      <c r="U62" s="9"/>
      <c r="V62" s="9"/>
      <c r="W62" s="9"/>
      <c r="X62" s="9"/>
      <c r="Y62" s="9"/>
      <c r="Z62" s="9"/>
      <c r="AA62" s="10"/>
      <c r="AB62" s="10"/>
      <c r="AC62" s="11"/>
      <c r="AD62" s="57"/>
      <c r="AE62" s="5"/>
      <c r="AF62" s="9"/>
      <c r="AG62" s="9"/>
      <c r="AH62" s="9"/>
      <c r="AI62" s="9"/>
      <c r="AJ62" s="9"/>
      <c r="AK62" s="9"/>
      <c r="AL62" s="9"/>
      <c r="AM62" s="10"/>
      <c r="AN62" s="10"/>
      <c r="AO62" s="10"/>
      <c r="AP62" s="10"/>
      <c r="AQ62" s="11"/>
      <c r="AR62" s="57"/>
      <c r="AS62" s="5"/>
      <c r="AT62" s="9"/>
      <c r="AU62" s="9"/>
      <c r="AV62" s="9"/>
      <c r="AW62" s="9"/>
      <c r="AX62" s="9"/>
      <c r="AY62" s="9"/>
      <c r="AZ62" s="10"/>
      <c r="BA62" s="10"/>
      <c r="BB62" s="10"/>
      <c r="BC62" s="10"/>
      <c r="BD62" s="10"/>
      <c r="BE62" s="11"/>
      <c r="BF62" s="57"/>
      <c r="BG62" s="5"/>
      <c r="BH62" s="9"/>
      <c r="BI62" s="9"/>
      <c r="BJ62" s="9"/>
      <c r="BK62" s="9"/>
      <c r="BL62" s="9"/>
      <c r="BM62" s="9"/>
      <c r="BN62" s="9"/>
      <c r="BO62" s="10"/>
      <c r="BP62" s="10"/>
      <c r="BQ62" s="10"/>
      <c r="BR62" s="10"/>
      <c r="BS62" s="11"/>
      <c r="BT62" s="57"/>
      <c r="BU62" s="25"/>
      <c r="BV62" s="6"/>
      <c r="BW62" s="6"/>
      <c r="BX62" s="6"/>
      <c r="BY62" s="6"/>
      <c r="BZ62" s="6"/>
      <c r="CA62" s="6"/>
      <c r="CB62" s="9"/>
      <c r="CC62" s="9"/>
      <c r="CD62" s="9"/>
      <c r="CE62" s="9"/>
      <c r="CF62" s="9"/>
      <c r="CG62" s="11"/>
      <c r="CH62" s="61"/>
      <c r="CI62" s="182"/>
      <c r="CJ62" s="52"/>
      <c r="CK62" s="196"/>
      <c r="CL62" s="197"/>
      <c r="CM62" s="197"/>
      <c r="CN62" s="197"/>
      <c r="CO62" s="198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</row>
    <row r="63" spans="1:143" s="4" customFormat="1" ht="11.45" customHeight="1" x14ac:dyDescent="0.2">
      <c r="A63" s="182"/>
      <c r="B63" s="44"/>
      <c r="C63" s="12"/>
      <c r="D63" s="13"/>
      <c r="E63" s="13"/>
      <c r="F63" s="14"/>
      <c r="G63" s="14"/>
      <c r="H63" s="14"/>
      <c r="I63" s="14"/>
      <c r="J63" s="14"/>
      <c r="K63" s="14"/>
      <c r="L63" s="10"/>
      <c r="M63" s="14"/>
      <c r="N63" s="14"/>
      <c r="O63" s="15"/>
      <c r="P63" s="57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  <c r="AC63" s="15"/>
      <c r="AD63" s="57"/>
      <c r="AE63" s="12"/>
      <c r="AF63" s="13"/>
      <c r="AG63" s="13"/>
      <c r="AH63" s="13"/>
      <c r="AI63" s="13"/>
      <c r="AJ63" s="13"/>
      <c r="AK63" s="13"/>
      <c r="AL63" s="13"/>
      <c r="AM63" s="14"/>
      <c r="AN63" s="14"/>
      <c r="AO63" s="14"/>
      <c r="AP63" s="14"/>
      <c r="AQ63" s="15"/>
      <c r="AR63" s="57"/>
      <c r="AS63" s="12"/>
      <c r="AT63" s="13"/>
      <c r="AU63" s="13"/>
      <c r="AV63" s="13"/>
      <c r="AW63" s="13"/>
      <c r="AX63" s="13"/>
      <c r="AY63" s="13"/>
      <c r="AZ63" s="14"/>
      <c r="BA63" s="14"/>
      <c r="BB63" s="14"/>
      <c r="BC63" s="14"/>
      <c r="BD63" s="14"/>
      <c r="BE63" s="15"/>
      <c r="BF63" s="57"/>
      <c r="BG63" s="12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5"/>
      <c r="BT63" s="57"/>
      <c r="BU63" s="12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5"/>
      <c r="CH63" s="61"/>
      <c r="CI63" s="182"/>
      <c r="CJ63" s="52"/>
      <c r="CK63" s="193" t="s">
        <v>98</v>
      </c>
      <c r="CL63" s="194"/>
      <c r="CM63" s="194"/>
      <c r="CN63" s="194"/>
      <c r="CO63" s="195"/>
      <c r="CP63" s="3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</row>
    <row r="64" spans="1:143" s="4" customFormat="1" ht="11.45" customHeight="1" x14ac:dyDescent="0.2">
      <c r="A64" s="182">
        <v>2000</v>
      </c>
      <c r="B64" s="44"/>
      <c r="C64" s="5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57"/>
      <c r="Q64" s="5"/>
      <c r="R64" s="9"/>
      <c r="S64" s="9"/>
      <c r="T64" s="9"/>
      <c r="U64" s="9"/>
      <c r="V64" s="9"/>
      <c r="W64" s="9"/>
      <c r="X64" s="9"/>
      <c r="Y64" s="9"/>
      <c r="Z64" s="9"/>
      <c r="AA64" s="10"/>
      <c r="AB64" s="10"/>
      <c r="AC64" s="11"/>
      <c r="AD64" s="57"/>
      <c r="AE64" s="5"/>
      <c r="AF64" s="9"/>
      <c r="AG64" s="9"/>
      <c r="AH64" s="9"/>
      <c r="AI64" s="9"/>
      <c r="AJ64" s="9"/>
      <c r="AK64" s="9"/>
      <c r="AL64" s="9"/>
      <c r="AM64" s="10"/>
      <c r="AN64" s="10"/>
      <c r="AO64" s="10"/>
      <c r="AP64" s="10"/>
      <c r="AQ64" s="11"/>
      <c r="AR64" s="57"/>
      <c r="AS64" s="5"/>
      <c r="AT64" s="9"/>
      <c r="AU64" s="9"/>
      <c r="AV64" s="9"/>
      <c r="AW64" s="9"/>
      <c r="AX64" s="9"/>
      <c r="AY64" s="9"/>
      <c r="AZ64" s="10"/>
      <c r="BA64" s="10"/>
      <c r="BB64" s="10"/>
      <c r="BC64" s="10"/>
      <c r="BD64" s="10"/>
      <c r="BE64" s="11"/>
      <c r="BF64" s="57"/>
      <c r="BG64" s="5"/>
      <c r="BH64" s="9"/>
      <c r="BI64" s="9"/>
      <c r="BJ64" s="9"/>
      <c r="BK64" s="9"/>
      <c r="BL64" s="9"/>
      <c r="BM64" s="9"/>
      <c r="BN64" s="9"/>
      <c r="BO64" s="10"/>
      <c r="BP64" s="10"/>
      <c r="BQ64" s="10"/>
      <c r="BR64" s="10"/>
      <c r="BS64" s="11"/>
      <c r="BT64" s="57"/>
      <c r="BU64" s="25"/>
      <c r="BV64" s="6"/>
      <c r="BW64" s="6"/>
      <c r="BX64" s="6"/>
      <c r="BY64" s="6"/>
      <c r="BZ64" s="6"/>
      <c r="CA64" s="6"/>
      <c r="CB64" s="9"/>
      <c r="CC64" s="9"/>
      <c r="CD64" s="9"/>
      <c r="CE64" s="9"/>
      <c r="CF64" s="9"/>
      <c r="CG64" s="11"/>
      <c r="CH64" s="61"/>
      <c r="CI64" s="182">
        <v>2000</v>
      </c>
      <c r="CJ64" s="52"/>
      <c r="CK64" s="196"/>
      <c r="CL64" s="197"/>
      <c r="CM64" s="197"/>
      <c r="CN64" s="197"/>
      <c r="CO64" s="198"/>
      <c r="CP64" s="3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</row>
    <row r="65" spans="1:143" s="4" customFormat="1" ht="11.45" customHeight="1" x14ac:dyDescent="0.2">
      <c r="A65" s="182"/>
      <c r="B65" s="44"/>
      <c r="C65" s="12"/>
      <c r="D65" s="13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57"/>
      <c r="Q65" s="12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  <c r="AC65" s="15"/>
      <c r="AD65" s="57"/>
      <c r="AE65" s="12"/>
      <c r="AF65" s="13"/>
      <c r="AG65" s="13"/>
      <c r="AH65" s="13"/>
      <c r="AI65" s="13"/>
      <c r="AJ65" s="13"/>
      <c r="AK65" s="13"/>
      <c r="AL65" s="13"/>
      <c r="AM65" s="14"/>
      <c r="AN65" s="14"/>
      <c r="AO65" s="14"/>
      <c r="AP65" s="14"/>
      <c r="AQ65" s="15"/>
      <c r="AR65" s="57"/>
      <c r="AS65" s="12"/>
      <c r="AT65" s="13"/>
      <c r="AU65" s="13"/>
      <c r="AV65" s="13"/>
      <c r="AW65" s="13"/>
      <c r="AX65" s="13"/>
      <c r="AY65" s="13"/>
      <c r="AZ65" s="14"/>
      <c r="BA65" s="14"/>
      <c r="BB65" s="14"/>
      <c r="BC65" s="14"/>
      <c r="BD65" s="14"/>
      <c r="BE65" s="15"/>
      <c r="BF65" s="57"/>
      <c r="BG65" s="12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5"/>
      <c r="BT65" s="57"/>
      <c r="BU65" s="12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5"/>
      <c r="CH65" s="61"/>
      <c r="CI65" s="182"/>
      <c r="CJ65" s="52"/>
      <c r="CK65" s="193" t="s">
        <v>54</v>
      </c>
      <c r="CL65" s="194"/>
      <c r="CM65" s="194"/>
      <c r="CN65" s="194"/>
      <c r="CO65" s="195"/>
      <c r="CP65" s="3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</row>
    <row r="66" spans="1:143" s="4" customFormat="1" ht="11.45" customHeight="1" x14ac:dyDescent="0.2">
      <c r="A66" s="182"/>
      <c r="B66" s="44"/>
      <c r="C66" s="5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1"/>
      <c r="P66" s="57"/>
      <c r="Q66" s="5"/>
      <c r="R66" s="9"/>
      <c r="S66" s="9"/>
      <c r="T66" s="9"/>
      <c r="U66" s="9"/>
      <c r="V66" s="9"/>
      <c r="W66" s="9"/>
      <c r="X66" s="9"/>
      <c r="Y66" s="9"/>
      <c r="Z66" s="9"/>
      <c r="AA66" s="10"/>
      <c r="AB66" s="10"/>
      <c r="AC66" s="11"/>
      <c r="AD66" s="57"/>
      <c r="AE66" s="5"/>
      <c r="AF66" s="9"/>
      <c r="AG66" s="9"/>
      <c r="AH66" s="9"/>
      <c r="AI66" s="9"/>
      <c r="AJ66" s="9"/>
      <c r="AK66" s="9"/>
      <c r="AL66" s="9"/>
      <c r="AM66" s="10"/>
      <c r="AN66" s="10"/>
      <c r="AO66" s="10"/>
      <c r="AP66" s="10"/>
      <c r="AQ66" s="11"/>
      <c r="AR66" s="57"/>
      <c r="AS66" s="5"/>
      <c r="AT66" s="9"/>
      <c r="AU66" s="9"/>
      <c r="AV66" s="9"/>
      <c r="AW66" s="9"/>
      <c r="AX66" s="9"/>
      <c r="AY66" s="9"/>
      <c r="AZ66" s="10"/>
      <c r="BA66" s="10"/>
      <c r="BB66" s="10"/>
      <c r="BC66" s="10"/>
      <c r="BD66" s="10"/>
      <c r="BE66" s="11"/>
      <c r="BF66" s="57"/>
      <c r="BG66" s="5"/>
      <c r="BH66" s="9"/>
      <c r="BI66" s="9"/>
      <c r="BJ66" s="9"/>
      <c r="BK66" s="9"/>
      <c r="BL66" s="9"/>
      <c r="BM66" s="9"/>
      <c r="BN66" s="9"/>
      <c r="BO66" s="10"/>
      <c r="BP66" s="10"/>
      <c r="BQ66" s="10"/>
      <c r="BR66" s="10"/>
      <c r="BS66" s="11"/>
      <c r="BT66" s="57"/>
      <c r="BU66" s="25"/>
      <c r="BV66" s="6"/>
      <c r="BW66" s="6"/>
      <c r="BX66" s="6"/>
      <c r="BY66" s="6"/>
      <c r="BZ66" s="6"/>
      <c r="CA66" s="6"/>
      <c r="CB66" s="9"/>
      <c r="CC66" s="9"/>
      <c r="CD66" s="9"/>
      <c r="CE66" s="9"/>
      <c r="CF66" s="9"/>
      <c r="CG66" s="11"/>
      <c r="CH66" s="61"/>
      <c r="CI66" s="182"/>
      <c r="CJ66" s="52"/>
      <c r="CK66" s="196"/>
      <c r="CL66" s="197"/>
      <c r="CM66" s="197"/>
      <c r="CN66" s="197"/>
      <c r="CO66" s="198"/>
      <c r="CP66" s="3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</row>
    <row r="67" spans="1:143" s="4" customFormat="1" ht="11.45" customHeight="1" x14ac:dyDescent="0.2">
      <c r="A67" s="182"/>
      <c r="B67" s="44"/>
      <c r="C67" s="12"/>
      <c r="D67" s="13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57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  <c r="AC67" s="15"/>
      <c r="AD67" s="57"/>
      <c r="AE67" s="12"/>
      <c r="AF67" s="13"/>
      <c r="AG67" s="13"/>
      <c r="AH67" s="13"/>
      <c r="AI67" s="13"/>
      <c r="AJ67" s="13"/>
      <c r="AK67" s="13"/>
      <c r="AL67" s="13"/>
      <c r="AM67" s="14"/>
      <c r="AN67" s="14"/>
      <c r="AO67" s="14"/>
      <c r="AP67" s="14"/>
      <c r="AQ67" s="15"/>
      <c r="AR67" s="57"/>
      <c r="AS67" s="12"/>
      <c r="AT67" s="13"/>
      <c r="AU67" s="13"/>
      <c r="AV67" s="13"/>
      <c r="AW67" s="13"/>
      <c r="AX67" s="13"/>
      <c r="AY67" s="13"/>
      <c r="AZ67" s="14"/>
      <c r="BA67" s="14"/>
      <c r="BB67" s="14"/>
      <c r="BC67" s="14"/>
      <c r="BD67" s="14"/>
      <c r="BE67" s="15"/>
      <c r="BF67" s="57"/>
      <c r="BG67" s="12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5"/>
      <c r="BT67" s="57"/>
      <c r="BU67" s="12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5"/>
      <c r="CH67" s="61"/>
      <c r="CI67" s="182"/>
      <c r="CJ67" s="52"/>
      <c r="CK67" s="193" t="s">
        <v>105</v>
      </c>
      <c r="CL67" s="194"/>
      <c r="CM67" s="194"/>
      <c r="CN67" s="194"/>
      <c r="CO67" s="195"/>
      <c r="CP67" s="36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</row>
    <row r="68" spans="1:143" s="4" customFormat="1" ht="11.45" customHeight="1" x14ac:dyDescent="0.2">
      <c r="A68" s="182">
        <v>2100</v>
      </c>
      <c r="B68" s="44"/>
      <c r="C68" s="5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1"/>
      <c r="P68" s="57"/>
      <c r="Q68" s="5"/>
      <c r="R68" s="9"/>
      <c r="S68" s="9"/>
      <c r="T68" s="9"/>
      <c r="U68" s="9"/>
      <c r="V68" s="9"/>
      <c r="W68" s="9"/>
      <c r="X68" s="9"/>
      <c r="Y68" s="9"/>
      <c r="Z68" s="9"/>
      <c r="AA68" s="10"/>
      <c r="AB68" s="10"/>
      <c r="AC68" s="11"/>
      <c r="AD68" s="57"/>
      <c r="AE68" s="5"/>
      <c r="AF68" s="9"/>
      <c r="AG68" s="9"/>
      <c r="AH68" s="9"/>
      <c r="AI68" s="9"/>
      <c r="AJ68" s="9"/>
      <c r="AK68" s="9"/>
      <c r="AL68" s="9"/>
      <c r="AM68" s="10"/>
      <c r="AN68" s="10"/>
      <c r="AO68" s="10"/>
      <c r="AP68" s="10"/>
      <c r="AQ68" s="11"/>
      <c r="AR68" s="57"/>
      <c r="AS68" s="5"/>
      <c r="AT68" s="9"/>
      <c r="AU68" s="9"/>
      <c r="AV68" s="9"/>
      <c r="AW68" s="9"/>
      <c r="AX68" s="9"/>
      <c r="AY68" s="9"/>
      <c r="AZ68" s="10"/>
      <c r="BA68" s="10"/>
      <c r="BB68" s="10"/>
      <c r="BC68" s="10"/>
      <c r="BD68" s="10"/>
      <c r="BE68" s="11"/>
      <c r="BF68" s="57"/>
      <c r="BG68" s="5"/>
      <c r="BH68" s="9"/>
      <c r="BI68" s="9"/>
      <c r="BJ68" s="9"/>
      <c r="BK68" s="9"/>
      <c r="BL68" s="9"/>
      <c r="BM68" s="9"/>
      <c r="BN68" s="9"/>
      <c r="BO68" s="10"/>
      <c r="BP68" s="10"/>
      <c r="BQ68" s="10"/>
      <c r="BR68" s="10"/>
      <c r="BS68" s="11"/>
      <c r="BT68" s="57"/>
      <c r="BU68" s="25"/>
      <c r="BV68" s="6"/>
      <c r="BW68" s="6"/>
      <c r="BX68" s="6"/>
      <c r="BY68" s="6"/>
      <c r="BZ68" s="6"/>
      <c r="CA68" s="6"/>
      <c r="CB68" s="9"/>
      <c r="CC68" s="9"/>
      <c r="CD68" s="9"/>
      <c r="CE68" s="9"/>
      <c r="CF68" s="9"/>
      <c r="CG68" s="11"/>
      <c r="CH68" s="61"/>
      <c r="CI68" s="182">
        <v>2100</v>
      </c>
      <c r="CJ68" s="52"/>
      <c r="CK68" s="196"/>
      <c r="CL68" s="197"/>
      <c r="CM68" s="197"/>
      <c r="CN68" s="197"/>
      <c r="CO68" s="198"/>
      <c r="CP68" s="36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1:143" s="4" customFormat="1" ht="11.45" customHeight="1" x14ac:dyDescent="0.2">
      <c r="A69" s="182"/>
      <c r="B69" s="44"/>
      <c r="C69" s="12"/>
      <c r="D69" s="13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5"/>
      <c r="P69" s="57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  <c r="AC69" s="15"/>
      <c r="AD69" s="57"/>
      <c r="AE69" s="12"/>
      <c r="AF69" s="13"/>
      <c r="AG69" s="13"/>
      <c r="AH69" s="13"/>
      <c r="AI69" s="13"/>
      <c r="AJ69" s="13"/>
      <c r="AK69" s="13"/>
      <c r="AL69" s="13"/>
      <c r="AM69" s="14"/>
      <c r="AN69" s="14"/>
      <c r="AO69" s="14"/>
      <c r="AP69" s="14"/>
      <c r="AQ69" s="15"/>
      <c r="AR69" s="57"/>
      <c r="AS69" s="12"/>
      <c r="AT69" s="13"/>
      <c r="AU69" s="13"/>
      <c r="AV69" s="13"/>
      <c r="AW69" s="13"/>
      <c r="AX69" s="13"/>
      <c r="AY69" s="13"/>
      <c r="AZ69" s="14"/>
      <c r="BA69" s="14"/>
      <c r="BB69" s="14"/>
      <c r="BC69" s="14"/>
      <c r="BD69" s="14"/>
      <c r="BE69" s="15"/>
      <c r="BF69" s="57"/>
      <c r="BG69" s="12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5"/>
      <c r="BT69" s="57"/>
      <c r="BU69" s="12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5"/>
      <c r="CH69" s="61"/>
      <c r="CI69" s="182"/>
      <c r="CJ69" s="52"/>
      <c r="CK69" s="193" t="s">
        <v>57</v>
      </c>
      <c r="CL69" s="194"/>
      <c r="CM69" s="194"/>
      <c r="CN69" s="194"/>
      <c r="CO69" s="195"/>
      <c r="CP69" s="34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</row>
    <row r="70" spans="1:143" s="4" customFormat="1" ht="11.45" customHeight="1" x14ac:dyDescent="0.2">
      <c r="A70" s="182"/>
      <c r="B70" s="44"/>
      <c r="C70" s="5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1"/>
      <c r="P70" s="57"/>
      <c r="Q70" s="5"/>
      <c r="R70" s="9"/>
      <c r="S70" s="9"/>
      <c r="T70" s="9"/>
      <c r="U70" s="9"/>
      <c r="V70" s="9"/>
      <c r="W70" s="9"/>
      <c r="X70" s="9"/>
      <c r="Y70" s="9"/>
      <c r="Z70" s="9"/>
      <c r="AA70" s="10"/>
      <c r="AB70" s="10"/>
      <c r="AC70" s="11"/>
      <c r="AD70" s="57"/>
      <c r="AE70" s="5"/>
      <c r="AF70" s="9"/>
      <c r="AG70" s="9"/>
      <c r="AH70" s="9"/>
      <c r="AI70" s="9"/>
      <c r="AJ70" s="9"/>
      <c r="AK70" s="9"/>
      <c r="AL70" s="9"/>
      <c r="AM70" s="10"/>
      <c r="AN70" s="10"/>
      <c r="AO70" s="10"/>
      <c r="AP70" s="10"/>
      <c r="AQ70" s="11"/>
      <c r="AR70" s="57"/>
      <c r="AS70" s="5"/>
      <c r="AT70" s="9"/>
      <c r="AU70" s="9"/>
      <c r="AV70" s="9"/>
      <c r="AW70" s="9"/>
      <c r="AX70" s="9"/>
      <c r="AY70" s="9"/>
      <c r="AZ70" s="10"/>
      <c r="BA70" s="10"/>
      <c r="BB70" s="10"/>
      <c r="BC70" s="10"/>
      <c r="BD70" s="10"/>
      <c r="BE70" s="11"/>
      <c r="BF70" s="57"/>
      <c r="BG70" s="5"/>
      <c r="BH70" s="9"/>
      <c r="BI70" s="9"/>
      <c r="BJ70" s="9"/>
      <c r="BK70" s="9"/>
      <c r="BL70" s="9"/>
      <c r="BM70" s="9"/>
      <c r="BN70" s="9"/>
      <c r="BO70" s="10"/>
      <c r="BP70" s="10"/>
      <c r="BQ70" s="10"/>
      <c r="BR70" s="10"/>
      <c r="BS70" s="11"/>
      <c r="BT70" s="57"/>
      <c r="BU70" s="25"/>
      <c r="BV70" s="6"/>
      <c r="BW70" s="6"/>
      <c r="BX70" s="6"/>
      <c r="BY70" s="6"/>
      <c r="BZ70" s="6"/>
      <c r="CA70" s="6"/>
      <c r="CB70" s="9"/>
      <c r="CC70" s="9"/>
      <c r="CD70" s="9"/>
      <c r="CE70" s="9"/>
      <c r="CF70" s="9"/>
      <c r="CG70" s="11"/>
      <c r="CH70" s="61"/>
      <c r="CI70" s="182"/>
      <c r="CJ70" s="52"/>
      <c r="CK70" s="196"/>
      <c r="CL70" s="197"/>
      <c r="CM70" s="197"/>
      <c r="CN70" s="197"/>
      <c r="CO70" s="198"/>
      <c r="CP70" s="34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</row>
    <row r="71" spans="1:143" s="4" customFormat="1" ht="11.45" customHeight="1" x14ac:dyDescent="0.2">
      <c r="A71" s="182"/>
      <c r="B71" s="44"/>
      <c r="C71" s="12"/>
      <c r="D71" s="13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57"/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  <c r="AC71" s="15"/>
      <c r="AD71" s="57"/>
      <c r="AE71" s="12"/>
      <c r="AF71" s="13"/>
      <c r="AG71" s="13"/>
      <c r="AH71" s="13"/>
      <c r="AI71" s="13"/>
      <c r="AJ71" s="13"/>
      <c r="AK71" s="13"/>
      <c r="AL71" s="13"/>
      <c r="AM71" s="14"/>
      <c r="AN71" s="14"/>
      <c r="AO71" s="14"/>
      <c r="AP71" s="14"/>
      <c r="AQ71" s="15"/>
      <c r="AR71" s="57"/>
      <c r="AS71" s="12"/>
      <c r="AT71" s="13"/>
      <c r="AU71" s="13"/>
      <c r="AV71" s="13"/>
      <c r="AW71" s="13"/>
      <c r="AX71" s="13"/>
      <c r="AY71" s="13"/>
      <c r="AZ71" s="14"/>
      <c r="BA71" s="14"/>
      <c r="BB71" s="14"/>
      <c r="BC71" s="14"/>
      <c r="BD71" s="14"/>
      <c r="BE71" s="15"/>
      <c r="BF71" s="57"/>
      <c r="BG71" s="12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5"/>
      <c r="BT71" s="57"/>
      <c r="BU71" s="12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5"/>
      <c r="CH71" s="61"/>
      <c r="CI71" s="182"/>
      <c r="CJ71" s="52"/>
      <c r="CK71" s="193" t="s">
        <v>79</v>
      </c>
      <c r="CL71" s="194"/>
      <c r="CM71" s="194"/>
      <c r="CN71" s="194"/>
      <c r="CO71" s="195"/>
      <c r="CP71" s="34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</row>
    <row r="72" spans="1:143" s="4" customFormat="1" ht="11.45" customHeight="1" x14ac:dyDescent="0.2">
      <c r="A72" s="182">
        <v>2200</v>
      </c>
      <c r="B72" s="44"/>
      <c r="C72" s="5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1"/>
      <c r="P72" s="57"/>
      <c r="Q72" s="5"/>
      <c r="R72" s="9"/>
      <c r="S72" s="9"/>
      <c r="T72" s="9"/>
      <c r="U72" s="9"/>
      <c r="V72" s="9"/>
      <c r="W72" s="9"/>
      <c r="X72" s="9"/>
      <c r="Y72" s="9"/>
      <c r="Z72" s="9"/>
      <c r="AA72" s="10"/>
      <c r="AB72" s="10"/>
      <c r="AC72" s="11"/>
      <c r="AD72" s="57"/>
      <c r="AE72" s="5"/>
      <c r="AF72" s="9"/>
      <c r="AG72" s="9"/>
      <c r="AH72" s="9"/>
      <c r="AI72" s="9"/>
      <c r="AJ72" s="9"/>
      <c r="AK72" s="9"/>
      <c r="AL72" s="9"/>
      <c r="AM72" s="10"/>
      <c r="AN72" s="10"/>
      <c r="AO72" s="10"/>
      <c r="AP72" s="10"/>
      <c r="AQ72" s="11"/>
      <c r="AR72" s="57"/>
      <c r="AS72" s="5"/>
      <c r="AT72" s="9"/>
      <c r="AU72" s="9"/>
      <c r="AV72" s="9"/>
      <c r="AW72" s="9"/>
      <c r="AX72" s="9"/>
      <c r="AY72" s="9"/>
      <c r="AZ72" s="10"/>
      <c r="BA72" s="10"/>
      <c r="BB72" s="10"/>
      <c r="BC72" s="10"/>
      <c r="BD72" s="10"/>
      <c r="BE72" s="11"/>
      <c r="BF72" s="57"/>
      <c r="BG72" s="5"/>
      <c r="BH72" s="9"/>
      <c r="BI72" s="9"/>
      <c r="BJ72" s="9"/>
      <c r="BK72" s="9"/>
      <c r="BL72" s="9"/>
      <c r="BM72" s="9"/>
      <c r="BN72" s="9"/>
      <c r="BO72" s="10"/>
      <c r="BP72" s="10"/>
      <c r="BQ72" s="10"/>
      <c r="BR72" s="10"/>
      <c r="BS72" s="11"/>
      <c r="BT72" s="57"/>
      <c r="BU72" s="25"/>
      <c r="BV72" s="6"/>
      <c r="BW72" s="6"/>
      <c r="BX72" s="6"/>
      <c r="BY72" s="6"/>
      <c r="BZ72" s="6"/>
      <c r="CA72" s="6"/>
      <c r="CB72" s="9"/>
      <c r="CC72" s="9"/>
      <c r="CD72" s="9"/>
      <c r="CE72" s="9"/>
      <c r="CF72" s="9"/>
      <c r="CG72" s="11"/>
      <c r="CH72" s="61"/>
      <c r="CI72" s="182">
        <v>2200</v>
      </c>
      <c r="CJ72" s="52"/>
      <c r="CK72" s="196"/>
      <c r="CL72" s="197"/>
      <c r="CM72" s="197"/>
      <c r="CN72" s="197"/>
      <c r="CO72" s="198"/>
      <c r="CP72" s="34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1:143" s="4" customFormat="1" ht="11.45" customHeight="1" x14ac:dyDescent="0.2">
      <c r="A73" s="182"/>
      <c r="B73" s="44"/>
      <c r="C73" s="12"/>
      <c r="D73" s="13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57"/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  <c r="AC73" s="15"/>
      <c r="AD73" s="57"/>
      <c r="AE73" s="12"/>
      <c r="AF73" s="13"/>
      <c r="AG73" s="13"/>
      <c r="AH73" s="13"/>
      <c r="AI73" s="13"/>
      <c r="AJ73" s="13"/>
      <c r="AK73" s="13"/>
      <c r="AL73" s="13"/>
      <c r="AM73" s="14"/>
      <c r="AN73" s="14"/>
      <c r="AO73" s="14"/>
      <c r="AP73" s="14"/>
      <c r="AQ73" s="15"/>
      <c r="AR73" s="57"/>
      <c r="AS73" s="12"/>
      <c r="AT73" s="13"/>
      <c r="AU73" s="13"/>
      <c r="AV73" s="13"/>
      <c r="AW73" s="13"/>
      <c r="AX73" s="13"/>
      <c r="AY73" s="13"/>
      <c r="AZ73" s="14"/>
      <c r="BA73" s="14"/>
      <c r="BB73" s="14"/>
      <c r="BC73" s="14"/>
      <c r="BD73" s="14"/>
      <c r="BE73" s="15"/>
      <c r="BF73" s="57"/>
      <c r="BG73" s="12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5"/>
      <c r="BT73" s="57"/>
      <c r="BU73" s="12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5"/>
      <c r="CH73" s="61"/>
      <c r="CI73" s="182"/>
      <c r="CJ73" s="52"/>
      <c r="CK73" s="193" t="s">
        <v>113</v>
      </c>
      <c r="CL73" s="194"/>
      <c r="CM73" s="194"/>
      <c r="CN73" s="194"/>
      <c r="CO73" s="195"/>
      <c r="CP73" s="35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</row>
    <row r="74" spans="1:143" s="4" customFormat="1" ht="11.45" customHeight="1" x14ac:dyDescent="0.2">
      <c r="A74" s="182"/>
      <c r="B74" s="44"/>
      <c r="C74" s="5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1"/>
      <c r="P74" s="57"/>
      <c r="Q74" s="5"/>
      <c r="R74" s="9"/>
      <c r="S74" s="9"/>
      <c r="T74" s="9"/>
      <c r="U74" s="9"/>
      <c r="V74" s="9"/>
      <c r="W74" s="9"/>
      <c r="X74" s="9"/>
      <c r="Y74" s="9"/>
      <c r="Z74" s="9"/>
      <c r="AA74" s="10"/>
      <c r="AB74" s="10"/>
      <c r="AC74" s="11"/>
      <c r="AD74" s="57"/>
      <c r="AE74" s="5"/>
      <c r="AF74" s="9"/>
      <c r="AG74" s="9"/>
      <c r="AH74" s="9"/>
      <c r="AI74" s="9"/>
      <c r="AJ74" s="9"/>
      <c r="AK74" s="9"/>
      <c r="AL74" s="9"/>
      <c r="AM74" s="10"/>
      <c r="AN74" s="10"/>
      <c r="AO74" s="10"/>
      <c r="AP74" s="10"/>
      <c r="AQ74" s="11"/>
      <c r="AR74" s="57"/>
      <c r="AS74" s="5"/>
      <c r="AT74" s="9"/>
      <c r="AU74" s="9"/>
      <c r="AV74" s="9"/>
      <c r="AW74" s="9"/>
      <c r="AX74" s="9"/>
      <c r="AY74" s="9"/>
      <c r="AZ74" s="10"/>
      <c r="BA74" s="10"/>
      <c r="BB74" s="10"/>
      <c r="BC74" s="10"/>
      <c r="BD74" s="10"/>
      <c r="BE74" s="11"/>
      <c r="BF74" s="57"/>
      <c r="BG74" s="5"/>
      <c r="BH74" s="9"/>
      <c r="BI74" s="9"/>
      <c r="BJ74" s="9"/>
      <c r="BK74" s="9"/>
      <c r="BL74" s="9"/>
      <c r="BM74" s="9"/>
      <c r="BN74" s="9"/>
      <c r="BO74" s="10"/>
      <c r="BP74" s="10"/>
      <c r="BQ74" s="10"/>
      <c r="BR74" s="10"/>
      <c r="BS74" s="11"/>
      <c r="BT74" s="57"/>
      <c r="BU74" s="25"/>
      <c r="BV74" s="6"/>
      <c r="BW74" s="6"/>
      <c r="BX74" s="6"/>
      <c r="BY74" s="6"/>
      <c r="BZ74" s="6"/>
      <c r="CA74" s="6"/>
      <c r="CB74" s="9"/>
      <c r="CC74" s="9"/>
      <c r="CD74" s="9"/>
      <c r="CE74" s="9"/>
      <c r="CF74" s="9"/>
      <c r="CG74" s="11"/>
      <c r="CH74" s="61"/>
      <c r="CI74" s="182"/>
      <c r="CJ74" s="52"/>
      <c r="CK74" s="196"/>
      <c r="CL74" s="197"/>
      <c r="CM74" s="197"/>
      <c r="CN74" s="197"/>
      <c r="CO74" s="198"/>
      <c r="CP74" s="35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</row>
    <row r="75" spans="1:143" s="4" customFormat="1" ht="11.45" customHeight="1" x14ac:dyDescent="0.2">
      <c r="A75" s="182"/>
      <c r="B75" s="44"/>
      <c r="C75" s="12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57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  <c r="AC75" s="15"/>
      <c r="AD75" s="57"/>
      <c r="AE75" s="12"/>
      <c r="AF75" s="13"/>
      <c r="AG75" s="13"/>
      <c r="AH75" s="13"/>
      <c r="AI75" s="13"/>
      <c r="AJ75" s="13"/>
      <c r="AK75" s="13"/>
      <c r="AL75" s="13"/>
      <c r="AM75" s="14"/>
      <c r="AN75" s="14"/>
      <c r="AO75" s="14"/>
      <c r="AP75" s="14"/>
      <c r="AQ75" s="15"/>
      <c r="AR75" s="57"/>
      <c r="AS75" s="12"/>
      <c r="AT75" s="13"/>
      <c r="AU75" s="13"/>
      <c r="AV75" s="13"/>
      <c r="AW75" s="13"/>
      <c r="AX75" s="13"/>
      <c r="AY75" s="13"/>
      <c r="AZ75" s="14"/>
      <c r="BA75" s="14"/>
      <c r="BB75" s="14"/>
      <c r="BC75" s="14"/>
      <c r="BD75" s="14"/>
      <c r="BE75" s="15"/>
      <c r="BF75" s="57"/>
      <c r="BG75" s="12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5"/>
      <c r="BT75" s="57"/>
      <c r="BU75" s="12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5"/>
      <c r="CH75" s="61"/>
      <c r="CI75" s="182"/>
      <c r="CJ75" s="52"/>
      <c r="CK75" s="176" t="s">
        <v>114</v>
      </c>
      <c r="CL75" s="177"/>
      <c r="CM75" s="177"/>
      <c r="CN75" s="177"/>
      <c r="CO75" s="178"/>
      <c r="CP75" s="34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</row>
    <row r="76" spans="1:143" s="4" customFormat="1" ht="11.45" customHeight="1" x14ac:dyDescent="0.2">
      <c r="A76" s="182">
        <v>2300</v>
      </c>
      <c r="B76" s="44"/>
      <c r="C76" s="5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1"/>
      <c r="P76" s="57"/>
      <c r="Q76" s="5"/>
      <c r="R76" s="9"/>
      <c r="S76" s="9"/>
      <c r="T76" s="9"/>
      <c r="U76" s="9"/>
      <c r="V76" s="9"/>
      <c r="W76" s="9"/>
      <c r="X76" s="10"/>
      <c r="Y76" s="10"/>
      <c r="Z76" s="10"/>
      <c r="AA76" s="10"/>
      <c r="AB76" s="10"/>
      <c r="AC76" s="11"/>
      <c r="AD76" s="57"/>
      <c r="AE76" s="5"/>
      <c r="AF76" s="9"/>
      <c r="AG76" s="9"/>
      <c r="AH76" s="9"/>
      <c r="AI76" s="9"/>
      <c r="AJ76" s="9"/>
      <c r="AK76" s="9"/>
      <c r="AL76" s="9"/>
      <c r="AM76" s="10"/>
      <c r="AN76" s="10"/>
      <c r="AO76" s="10"/>
      <c r="AP76" s="10"/>
      <c r="AQ76" s="11"/>
      <c r="AR76" s="57"/>
      <c r="AS76" s="5"/>
      <c r="AT76" s="9"/>
      <c r="AU76" s="9"/>
      <c r="AV76" s="9"/>
      <c r="AW76" s="9"/>
      <c r="AX76" s="9"/>
      <c r="AY76" s="9"/>
      <c r="AZ76" s="10"/>
      <c r="BA76" s="10"/>
      <c r="BB76" s="10"/>
      <c r="BC76" s="10"/>
      <c r="BD76" s="10"/>
      <c r="BE76" s="11"/>
      <c r="BF76" s="57"/>
      <c r="BG76" s="5"/>
      <c r="BH76" s="9"/>
      <c r="BI76" s="9"/>
      <c r="BJ76" s="9"/>
      <c r="BK76" s="9"/>
      <c r="BL76" s="9"/>
      <c r="BM76" s="9"/>
      <c r="BN76" s="9"/>
      <c r="BO76" s="10"/>
      <c r="BP76" s="10"/>
      <c r="BQ76" s="10"/>
      <c r="BR76" s="10"/>
      <c r="BS76" s="11"/>
      <c r="BT76" s="57"/>
      <c r="BU76" s="25"/>
      <c r="BV76" s="6"/>
      <c r="BW76" s="6"/>
      <c r="BX76" s="6"/>
      <c r="BY76" s="6"/>
      <c r="BZ76" s="6"/>
      <c r="CA76" s="6"/>
      <c r="CB76" s="9"/>
      <c r="CC76" s="9"/>
      <c r="CD76" s="9"/>
      <c r="CE76" s="9"/>
      <c r="CF76" s="9"/>
      <c r="CG76" s="11"/>
      <c r="CH76" s="61"/>
      <c r="CI76" s="182">
        <v>2300</v>
      </c>
      <c r="CJ76" s="52"/>
      <c r="CK76" s="179"/>
      <c r="CL76" s="180"/>
      <c r="CM76" s="180"/>
      <c r="CN76" s="180"/>
      <c r="CO76" s="181"/>
      <c r="CP76" s="34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</row>
    <row r="77" spans="1:143" s="4" customFormat="1" ht="11.45" customHeight="1" x14ac:dyDescent="0.2">
      <c r="A77" s="182"/>
      <c r="B77" s="44"/>
      <c r="C77" s="12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57"/>
      <c r="Q77" s="12"/>
      <c r="R77" s="13"/>
      <c r="S77" s="13"/>
      <c r="T77" s="13"/>
      <c r="U77" s="13"/>
      <c r="V77" s="13"/>
      <c r="W77" s="13"/>
      <c r="X77" s="14"/>
      <c r="Y77" s="14"/>
      <c r="Z77" s="14"/>
      <c r="AA77" s="14"/>
      <c r="AB77" s="14"/>
      <c r="AC77" s="15"/>
      <c r="AD77" s="57"/>
      <c r="AE77" s="12"/>
      <c r="AF77" s="13"/>
      <c r="AG77" s="13"/>
      <c r="AH77" s="13"/>
      <c r="AI77" s="13"/>
      <c r="AJ77" s="13"/>
      <c r="AK77" s="13"/>
      <c r="AL77" s="13"/>
      <c r="AM77" s="14"/>
      <c r="AN77" s="14"/>
      <c r="AO77" s="14"/>
      <c r="AP77" s="14"/>
      <c r="AQ77" s="15"/>
      <c r="AR77" s="57"/>
      <c r="AS77" s="12"/>
      <c r="AT77" s="13"/>
      <c r="AU77" s="13"/>
      <c r="AV77" s="13"/>
      <c r="AW77" s="13"/>
      <c r="AX77" s="13"/>
      <c r="AY77" s="13"/>
      <c r="AZ77" s="14"/>
      <c r="BA77" s="14"/>
      <c r="BB77" s="14"/>
      <c r="BC77" s="14"/>
      <c r="BD77" s="14"/>
      <c r="BE77" s="15"/>
      <c r="BF77" s="57"/>
      <c r="BG77" s="12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5"/>
      <c r="BT77" s="57"/>
      <c r="BU77" s="12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5"/>
      <c r="CH77" s="61"/>
      <c r="CI77" s="182"/>
      <c r="CJ77" s="52"/>
      <c r="CK77" s="176" t="s">
        <v>129</v>
      </c>
      <c r="CL77" s="177"/>
      <c r="CM77" s="177"/>
      <c r="CN77" s="177"/>
      <c r="CO77" s="178"/>
      <c r="CP77" s="34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</row>
    <row r="78" spans="1:143" s="4" customFormat="1" ht="11.45" customHeight="1" x14ac:dyDescent="0.2">
      <c r="A78" s="182"/>
      <c r="B78" s="44"/>
      <c r="C78" s="5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1"/>
      <c r="P78" s="57"/>
      <c r="Q78" s="5"/>
      <c r="R78" s="9"/>
      <c r="S78" s="9"/>
      <c r="T78" s="9"/>
      <c r="U78" s="9"/>
      <c r="V78" s="9"/>
      <c r="W78" s="9"/>
      <c r="X78" s="10"/>
      <c r="Y78" s="10"/>
      <c r="Z78" s="10"/>
      <c r="AA78" s="10"/>
      <c r="AB78" s="10"/>
      <c r="AC78" s="11"/>
      <c r="AD78" s="57"/>
      <c r="AE78" s="5"/>
      <c r="AF78" s="9"/>
      <c r="AG78" s="9"/>
      <c r="AH78" s="9"/>
      <c r="AI78" s="9"/>
      <c r="AJ78" s="9"/>
      <c r="AK78" s="9"/>
      <c r="AL78" s="9"/>
      <c r="AM78" s="10"/>
      <c r="AN78" s="10"/>
      <c r="AO78" s="10"/>
      <c r="AP78" s="10"/>
      <c r="AQ78" s="11"/>
      <c r="AR78" s="57"/>
      <c r="AS78" s="5"/>
      <c r="AT78" s="9"/>
      <c r="AU78" s="9"/>
      <c r="AV78" s="9"/>
      <c r="AW78" s="9"/>
      <c r="AX78" s="9"/>
      <c r="AY78" s="9"/>
      <c r="AZ78" s="10"/>
      <c r="BA78" s="10"/>
      <c r="BB78" s="10"/>
      <c r="BC78" s="10"/>
      <c r="BD78" s="10"/>
      <c r="BE78" s="11"/>
      <c r="BF78" s="57"/>
      <c r="BG78" s="5"/>
      <c r="BH78" s="9"/>
      <c r="BI78" s="9"/>
      <c r="BJ78" s="9"/>
      <c r="BK78" s="9"/>
      <c r="BL78" s="9"/>
      <c r="BM78" s="9"/>
      <c r="BN78" s="9"/>
      <c r="BO78" s="10"/>
      <c r="BP78" s="10"/>
      <c r="BQ78" s="10"/>
      <c r="BR78" s="10"/>
      <c r="BS78" s="11"/>
      <c r="BT78" s="57"/>
      <c r="BU78" s="25"/>
      <c r="BV78" s="6"/>
      <c r="BW78" s="6"/>
      <c r="BX78" s="6"/>
      <c r="BY78" s="6"/>
      <c r="BZ78" s="6"/>
      <c r="CA78" s="6"/>
      <c r="CB78" s="9"/>
      <c r="CC78" s="9"/>
      <c r="CD78" s="9"/>
      <c r="CE78" s="9"/>
      <c r="CF78" s="9"/>
      <c r="CG78" s="11"/>
      <c r="CH78" s="61"/>
      <c r="CI78" s="182"/>
      <c r="CJ78" s="52"/>
      <c r="CK78" s="179"/>
      <c r="CL78" s="180"/>
      <c r="CM78" s="180"/>
      <c r="CN78" s="180"/>
      <c r="CO78" s="181"/>
      <c r="CP78" s="34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</row>
    <row r="79" spans="1:143" s="4" customFormat="1" ht="11.45" customHeight="1" x14ac:dyDescent="0.2">
      <c r="A79" s="182"/>
      <c r="B79" s="44"/>
      <c r="C79" s="12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5"/>
      <c r="P79" s="57"/>
      <c r="Q79" s="12"/>
      <c r="R79" s="13"/>
      <c r="S79" s="13"/>
      <c r="T79" s="13"/>
      <c r="U79" s="13"/>
      <c r="V79" s="13"/>
      <c r="W79" s="13"/>
      <c r="X79" s="14"/>
      <c r="Y79" s="14"/>
      <c r="Z79" s="14"/>
      <c r="AA79" s="14"/>
      <c r="AB79" s="14"/>
      <c r="AC79" s="15"/>
      <c r="AD79" s="57"/>
      <c r="AE79" s="12"/>
      <c r="AF79" s="13"/>
      <c r="AG79" s="13"/>
      <c r="AH79" s="13"/>
      <c r="AI79" s="13"/>
      <c r="AJ79" s="13"/>
      <c r="AK79" s="13"/>
      <c r="AL79" s="13"/>
      <c r="AM79" s="14"/>
      <c r="AN79" s="14"/>
      <c r="AO79" s="14"/>
      <c r="AP79" s="14"/>
      <c r="AQ79" s="15"/>
      <c r="AR79" s="57"/>
      <c r="AS79" s="12"/>
      <c r="AT79" s="13"/>
      <c r="AU79" s="13"/>
      <c r="AV79" s="13"/>
      <c r="AW79" s="13"/>
      <c r="AX79" s="13"/>
      <c r="AY79" s="13"/>
      <c r="AZ79" s="14"/>
      <c r="BA79" s="14"/>
      <c r="BB79" s="14"/>
      <c r="BC79" s="14"/>
      <c r="BD79" s="14"/>
      <c r="BE79" s="15"/>
      <c r="BF79" s="57"/>
      <c r="BG79" s="12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5"/>
      <c r="BT79" s="57"/>
      <c r="BU79" s="12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5"/>
      <c r="CH79" s="61"/>
      <c r="CI79" s="182"/>
      <c r="CJ79" s="52"/>
      <c r="CK79" s="131" t="s">
        <v>149</v>
      </c>
      <c r="CL79" s="132"/>
      <c r="CM79" s="132"/>
      <c r="CN79" s="132"/>
      <c r="CO79" s="13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</row>
    <row r="80" spans="1:143" s="4" customFormat="1" ht="11.45" customHeight="1" x14ac:dyDescent="0.2">
      <c r="A80" s="182">
        <v>2400</v>
      </c>
      <c r="B80" s="44"/>
      <c r="C80" s="5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1"/>
      <c r="P80" s="57"/>
      <c r="Q80" s="5"/>
      <c r="R80" s="9"/>
      <c r="S80" s="9"/>
      <c r="T80" s="9"/>
      <c r="U80" s="9"/>
      <c r="V80" s="9"/>
      <c r="W80" s="9"/>
      <c r="X80" s="10"/>
      <c r="Y80" s="10"/>
      <c r="Z80" s="10"/>
      <c r="AA80" s="10"/>
      <c r="AB80" s="10"/>
      <c r="AC80" s="11"/>
      <c r="AD80" s="57"/>
      <c r="AE80" s="5"/>
      <c r="AF80" s="9"/>
      <c r="AG80" s="9"/>
      <c r="AH80" s="9"/>
      <c r="AI80" s="9"/>
      <c r="AJ80" s="9"/>
      <c r="AK80" s="9"/>
      <c r="AL80" s="9"/>
      <c r="AM80" s="10"/>
      <c r="AN80" s="10"/>
      <c r="AO80" s="10"/>
      <c r="AP80" s="10"/>
      <c r="AQ80" s="11"/>
      <c r="AR80" s="57"/>
      <c r="AS80" s="5"/>
      <c r="AT80" s="9"/>
      <c r="AU80" s="9"/>
      <c r="AV80" s="9"/>
      <c r="AW80" s="9"/>
      <c r="AX80" s="9"/>
      <c r="AY80" s="9"/>
      <c r="AZ80" s="10"/>
      <c r="BA80" s="10"/>
      <c r="BB80" s="10"/>
      <c r="BC80" s="10"/>
      <c r="BD80" s="10"/>
      <c r="BE80" s="11"/>
      <c r="BF80" s="57"/>
      <c r="BG80" s="5"/>
      <c r="BH80" s="9"/>
      <c r="BI80" s="9"/>
      <c r="BJ80" s="9"/>
      <c r="BK80" s="9"/>
      <c r="BL80" s="9"/>
      <c r="BM80" s="9"/>
      <c r="BN80" s="9"/>
      <c r="BO80" s="10"/>
      <c r="BP80" s="10"/>
      <c r="BQ80" s="10"/>
      <c r="BR80" s="10"/>
      <c r="BS80" s="11"/>
      <c r="BT80" s="57"/>
      <c r="BU80" s="25"/>
      <c r="BV80" s="6"/>
      <c r="BW80" s="6"/>
      <c r="BX80" s="6"/>
      <c r="BY80" s="6"/>
      <c r="BZ80" s="6"/>
      <c r="CA80" s="6"/>
      <c r="CB80" s="9"/>
      <c r="CC80" s="9"/>
      <c r="CD80" s="9"/>
      <c r="CE80" s="9"/>
      <c r="CF80" s="9"/>
      <c r="CG80" s="11"/>
      <c r="CH80" s="61"/>
      <c r="CI80" s="182">
        <v>2400</v>
      </c>
      <c r="CJ80" s="52"/>
      <c r="CK80" s="134"/>
      <c r="CL80" s="135"/>
      <c r="CM80" s="135"/>
      <c r="CN80" s="135"/>
      <c r="CO80" s="136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</row>
    <row r="81" spans="1:143" s="4" customFormat="1" ht="11.45" customHeight="1" x14ac:dyDescent="0.2">
      <c r="A81" s="182"/>
      <c r="B81" s="44"/>
      <c r="C81" s="12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5"/>
      <c r="P81" s="57"/>
      <c r="Q81" s="12"/>
      <c r="R81" s="13"/>
      <c r="S81" s="13"/>
      <c r="T81" s="13"/>
      <c r="U81" s="13"/>
      <c r="V81" s="13"/>
      <c r="W81" s="13"/>
      <c r="X81" s="14"/>
      <c r="Y81" s="14"/>
      <c r="Z81" s="14"/>
      <c r="AA81" s="14"/>
      <c r="AB81" s="14"/>
      <c r="AC81" s="15"/>
      <c r="AD81" s="57"/>
      <c r="AE81" s="12"/>
      <c r="AF81" s="13"/>
      <c r="AG81" s="13"/>
      <c r="AH81" s="13"/>
      <c r="AI81" s="13"/>
      <c r="AJ81" s="13"/>
      <c r="AK81" s="13"/>
      <c r="AL81" s="13"/>
      <c r="AM81" s="14"/>
      <c r="AN81" s="14"/>
      <c r="AO81" s="14"/>
      <c r="AP81" s="14"/>
      <c r="AQ81" s="15"/>
      <c r="AR81" s="57"/>
      <c r="AS81" s="12"/>
      <c r="AT81" s="13"/>
      <c r="AU81" s="13"/>
      <c r="AV81" s="13"/>
      <c r="AW81" s="13"/>
      <c r="AX81" s="13"/>
      <c r="AY81" s="13"/>
      <c r="AZ81" s="14"/>
      <c r="BA81" s="14"/>
      <c r="BB81" s="14"/>
      <c r="BC81" s="14"/>
      <c r="BD81" s="14"/>
      <c r="BE81" s="15"/>
      <c r="BF81" s="57"/>
      <c r="BG81" s="12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5"/>
      <c r="BT81" s="57"/>
      <c r="BU81" s="12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5"/>
      <c r="CH81" s="61"/>
      <c r="CI81" s="182"/>
      <c r="CJ81" s="52"/>
      <c r="CK81" s="134"/>
      <c r="CL81" s="135"/>
      <c r="CM81" s="135"/>
      <c r="CN81" s="135"/>
      <c r="CO81" s="136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</row>
    <row r="82" spans="1:143" s="4" customFormat="1" ht="11.45" customHeight="1" x14ac:dyDescent="0.2">
      <c r="A82" s="182"/>
      <c r="B82" s="44"/>
      <c r="C82" s="5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1"/>
      <c r="P82" s="57"/>
      <c r="Q82" s="5"/>
      <c r="R82" s="9"/>
      <c r="S82" s="9"/>
      <c r="T82" s="9"/>
      <c r="U82" s="9"/>
      <c r="V82" s="9"/>
      <c r="W82" s="9"/>
      <c r="X82" s="10"/>
      <c r="Y82" s="10"/>
      <c r="Z82" s="10"/>
      <c r="AA82" s="10"/>
      <c r="AB82" s="10"/>
      <c r="AC82" s="11"/>
      <c r="AD82" s="57"/>
      <c r="AE82" s="5"/>
      <c r="AF82" s="9"/>
      <c r="AG82" s="9"/>
      <c r="AH82" s="9"/>
      <c r="AI82" s="9"/>
      <c r="AJ82" s="9"/>
      <c r="AK82" s="9"/>
      <c r="AL82" s="9"/>
      <c r="AM82" s="10"/>
      <c r="AN82" s="10"/>
      <c r="AO82" s="10"/>
      <c r="AP82" s="10"/>
      <c r="AQ82" s="11"/>
      <c r="AR82" s="57"/>
      <c r="AS82" s="5"/>
      <c r="AT82" s="9"/>
      <c r="AU82" s="9"/>
      <c r="AV82" s="9"/>
      <c r="AW82" s="9"/>
      <c r="AX82" s="9"/>
      <c r="AY82" s="9"/>
      <c r="AZ82" s="10"/>
      <c r="BA82" s="10"/>
      <c r="BB82" s="10"/>
      <c r="BC82" s="10"/>
      <c r="BD82" s="10"/>
      <c r="BE82" s="11"/>
      <c r="BF82" s="57"/>
      <c r="BG82" s="5"/>
      <c r="BH82" s="9"/>
      <c r="BI82" s="9"/>
      <c r="BJ82" s="9"/>
      <c r="BK82" s="9"/>
      <c r="BL82" s="9"/>
      <c r="BM82" s="9"/>
      <c r="BN82" s="9"/>
      <c r="BO82" s="10"/>
      <c r="BP82" s="10"/>
      <c r="BQ82" s="10"/>
      <c r="BR82" s="10"/>
      <c r="BS82" s="11"/>
      <c r="BT82" s="57"/>
      <c r="BU82" s="25"/>
      <c r="BV82" s="6"/>
      <c r="BW82" s="6"/>
      <c r="BX82" s="6"/>
      <c r="BY82" s="6"/>
      <c r="BZ82" s="6"/>
      <c r="CA82" s="6"/>
      <c r="CB82" s="9"/>
      <c r="CC82" s="9"/>
      <c r="CD82" s="9"/>
      <c r="CE82" s="9"/>
      <c r="CF82" s="9"/>
      <c r="CG82" s="11"/>
      <c r="CH82" s="61"/>
      <c r="CI82" s="182"/>
      <c r="CJ82" s="52"/>
      <c r="CK82" s="134"/>
      <c r="CL82" s="135"/>
      <c r="CM82" s="135"/>
      <c r="CN82" s="135"/>
      <c r="CO82" s="136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</row>
    <row r="83" spans="1:143" s="4" customFormat="1" ht="11.45" customHeight="1" x14ac:dyDescent="0.2">
      <c r="A83" s="183"/>
      <c r="B83" s="51"/>
      <c r="C83" s="28"/>
      <c r="D83" s="29"/>
      <c r="E83" s="29"/>
      <c r="F83" s="30"/>
      <c r="G83" s="30"/>
      <c r="H83" s="30"/>
      <c r="I83" s="30"/>
      <c r="J83" s="30"/>
      <c r="K83" s="30"/>
      <c r="L83" s="30"/>
      <c r="M83" s="30"/>
      <c r="N83" s="14"/>
      <c r="O83" s="15"/>
      <c r="P83" s="57"/>
      <c r="Q83" s="12"/>
      <c r="R83" s="13"/>
      <c r="S83" s="13"/>
      <c r="T83" s="13"/>
      <c r="U83" s="13"/>
      <c r="V83" s="13"/>
      <c r="W83" s="13"/>
      <c r="X83" s="14"/>
      <c r="Y83" s="14"/>
      <c r="Z83" s="14"/>
      <c r="AA83" s="14"/>
      <c r="AB83" s="14"/>
      <c r="AC83" s="15"/>
      <c r="AD83" s="57"/>
      <c r="AE83" s="12"/>
      <c r="AF83" s="29"/>
      <c r="AG83" s="29"/>
      <c r="AH83" s="29"/>
      <c r="AI83" s="29"/>
      <c r="AJ83" s="29"/>
      <c r="AK83" s="29"/>
      <c r="AL83" s="29"/>
      <c r="AM83" s="30"/>
      <c r="AN83" s="30"/>
      <c r="AO83" s="30"/>
      <c r="AP83" s="30"/>
      <c r="AQ83" s="31"/>
      <c r="AR83" s="57"/>
      <c r="AS83" s="28"/>
      <c r="AT83" s="29"/>
      <c r="AU83" s="29"/>
      <c r="AV83" s="29"/>
      <c r="AW83" s="29"/>
      <c r="AX83" s="29"/>
      <c r="AY83" s="29"/>
      <c r="AZ83" s="30"/>
      <c r="BA83" s="30"/>
      <c r="BB83" s="30"/>
      <c r="BC83" s="30"/>
      <c r="BD83" s="30"/>
      <c r="BE83" s="31"/>
      <c r="BF83" s="57"/>
      <c r="BG83" s="28"/>
      <c r="BH83" s="29"/>
      <c r="BI83" s="29"/>
      <c r="BJ83" s="29"/>
      <c r="BK83" s="29"/>
      <c r="BL83" s="29"/>
      <c r="BM83" s="29"/>
      <c r="BN83" s="29"/>
      <c r="BO83" s="30"/>
      <c r="BP83" s="30"/>
      <c r="BQ83" s="30"/>
      <c r="BR83" s="30"/>
      <c r="BS83" s="31"/>
      <c r="BT83" s="57"/>
      <c r="BU83" s="12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5"/>
      <c r="CH83" s="61"/>
      <c r="CI83" s="183"/>
      <c r="CJ83" s="52"/>
      <c r="CK83" s="134"/>
      <c r="CL83" s="135"/>
      <c r="CM83" s="135"/>
      <c r="CN83" s="135"/>
      <c r="CO83" s="136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</row>
    <row r="84" spans="1:143" s="37" customFormat="1" ht="12.95" customHeight="1" x14ac:dyDescent="0.2">
      <c r="A84" s="38"/>
      <c r="B84" s="91"/>
      <c r="C84" s="72" t="s">
        <v>0</v>
      </c>
      <c r="D84" s="173" t="s">
        <v>62</v>
      </c>
      <c r="E84" s="184"/>
      <c r="F84" s="184"/>
      <c r="G84" s="184"/>
      <c r="H84" s="184"/>
      <c r="I84" s="184"/>
      <c r="J84" s="184"/>
      <c r="K84" s="174"/>
      <c r="L84" s="173" t="s">
        <v>48</v>
      </c>
      <c r="M84" s="174"/>
      <c r="N84" s="173" t="s">
        <v>63</v>
      </c>
      <c r="O84" s="174"/>
      <c r="P84" s="85"/>
      <c r="Q84" s="72" t="s">
        <v>0</v>
      </c>
      <c r="R84" s="173" t="s">
        <v>62</v>
      </c>
      <c r="S84" s="184"/>
      <c r="T84" s="184"/>
      <c r="U84" s="184"/>
      <c r="V84" s="184"/>
      <c r="W84" s="184"/>
      <c r="X84" s="184"/>
      <c r="Y84" s="174"/>
      <c r="Z84" s="173" t="s">
        <v>48</v>
      </c>
      <c r="AA84" s="174"/>
      <c r="AB84" s="173" t="s">
        <v>63</v>
      </c>
      <c r="AC84" s="174"/>
      <c r="AD84" s="85"/>
      <c r="AE84" s="72" t="s">
        <v>0</v>
      </c>
      <c r="AF84" s="173" t="s">
        <v>62</v>
      </c>
      <c r="AG84" s="184"/>
      <c r="AH84" s="184"/>
      <c r="AI84" s="184"/>
      <c r="AJ84" s="184"/>
      <c r="AK84" s="184"/>
      <c r="AL84" s="184"/>
      <c r="AM84" s="174"/>
      <c r="AN84" s="173" t="s">
        <v>48</v>
      </c>
      <c r="AO84" s="174"/>
      <c r="AP84" s="173" t="s">
        <v>63</v>
      </c>
      <c r="AQ84" s="174"/>
      <c r="AR84" s="85"/>
      <c r="AS84" s="72" t="s">
        <v>0</v>
      </c>
      <c r="AT84" s="173" t="s">
        <v>62</v>
      </c>
      <c r="AU84" s="184"/>
      <c r="AV84" s="184"/>
      <c r="AW84" s="184"/>
      <c r="AX84" s="184"/>
      <c r="AY84" s="184"/>
      <c r="AZ84" s="184"/>
      <c r="BA84" s="174"/>
      <c r="BB84" s="173" t="s">
        <v>48</v>
      </c>
      <c r="BC84" s="174"/>
      <c r="BD84" s="173" t="s">
        <v>63</v>
      </c>
      <c r="BE84" s="174"/>
      <c r="BF84" s="85"/>
      <c r="BG84" s="72" t="s">
        <v>0</v>
      </c>
      <c r="BH84" s="173" t="s">
        <v>62</v>
      </c>
      <c r="BI84" s="184"/>
      <c r="BJ84" s="184"/>
      <c r="BK84" s="184"/>
      <c r="BL84" s="184"/>
      <c r="BM84" s="184"/>
      <c r="BN84" s="184"/>
      <c r="BO84" s="174"/>
      <c r="BP84" s="173" t="s">
        <v>48</v>
      </c>
      <c r="BQ84" s="174"/>
      <c r="BR84" s="173" t="s">
        <v>63</v>
      </c>
      <c r="BS84" s="174"/>
      <c r="BT84" s="85"/>
      <c r="BU84" s="72" t="s">
        <v>0</v>
      </c>
      <c r="BV84" s="173" t="s">
        <v>62</v>
      </c>
      <c r="BW84" s="184"/>
      <c r="BX84" s="184"/>
      <c r="BY84" s="184"/>
      <c r="BZ84" s="184"/>
      <c r="CA84" s="184"/>
      <c r="CB84" s="184"/>
      <c r="CC84" s="174"/>
      <c r="CD84" s="173" t="s">
        <v>48</v>
      </c>
      <c r="CE84" s="174"/>
      <c r="CF84" s="173" t="s">
        <v>63</v>
      </c>
      <c r="CG84" s="174"/>
      <c r="CH84" s="48"/>
      <c r="CI84" s="68"/>
      <c r="CJ84" s="53"/>
      <c r="CK84" s="134"/>
      <c r="CL84" s="135"/>
      <c r="CM84" s="135"/>
      <c r="CN84" s="135"/>
      <c r="CO84" s="136"/>
    </row>
    <row r="85" spans="1:143" s="32" customFormat="1" ht="12.95" customHeight="1" x14ac:dyDescent="0.2">
      <c r="A85" s="167" t="s">
        <v>58</v>
      </c>
      <c r="B85" s="45"/>
      <c r="C85" s="156">
        <v>2100</v>
      </c>
      <c r="D85" s="152" t="s">
        <v>140</v>
      </c>
      <c r="E85" s="158"/>
      <c r="F85" s="158"/>
      <c r="G85" s="158"/>
      <c r="H85" s="158"/>
      <c r="I85" s="158"/>
      <c r="J85" s="158"/>
      <c r="K85" s="153"/>
      <c r="L85" s="152" t="s">
        <v>127</v>
      </c>
      <c r="M85" s="153"/>
      <c r="N85" s="152" t="s">
        <v>130</v>
      </c>
      <c r="O85" s="153"/>
      <c r="P85" s="85"/>
      <c r="Q85" s="156">
        <v>1900</v>
      </c>
      <c r="R85" s="152" t="s">
        <v>207</v>
      </c>
      <c r="S85" s="158"/>
      <c r="T85" s="158"/>
      <c r="U85" s="158"/>
      <c r="V85" s="158"/>
      <c r="W85" s="158"/>
      <c r="X85" s="158"/>
      <c r="Y85" s="153"/>
      <c r="Z85" s="152" t="s">
        <v>127</v>
      </c>
      <c r="AA85" s="153"/>
      <c r="AB85" s="152" t="s">
        <v>120</v>
      </c>
      <c r="AC85" s="153"/>
      <c r="AD85" s="85"/>
      <c r="AE85" s="156" t="s">
        <v>162</v>
      </c>
      <c r="AF85" s="152" t="s">
        <v>163</v>
      </c>
      <c r="AG85" s="158"/>
      <c r="AH85" s="158"/>
      <c r="AI85" s="158"/>
      <c r="AJ85" s="158"/>
      <c r="AK85" s="158"/>
      <c r="AL85" s="158"/>
      <c r="AM85" s="153"/>
      <c r="AN85" s="152" t="s">
        <v>127</v>
      </c>
      <c r="AO85" s="153"/>
      <c r="AP85" s="152" t="s">
        <v>124</v>
      </c>
      <c r="AQ85" s="153"/>
      <c r="AR85" s="85"/>
      <c r="AS85" s="156">
        <v>1800</v>
      </c>
      <c r="AT85" s="152" t="s">
        <v>167</v>
      </c>
      <c r="AU85" s="158"/>
      <c r="AV85" s="158"/>
      <c r="AW85" s="158"/>
      <c r="AX85" s="158"/>
      <c r="AY85" s="158"/>
      <c r="AZ85" s="158"/>
      <c r="BA85" s="153"/>
      <c r="BB85" s="152" t="s">
        <v>103</v>
      </c>
      <c r="BC85" s="153"/>
      <c r="BD85" s="152" t="s">
        <v>130</v>
      </c>
      <c r="BE85" s="153"/>
      <c r="BF85" s="85"/>
      <c r="BG85" s="156">
        <v>1200</v>
      </c>
      <c r="BH85" s="152" t="s">
        <v>169</v>
      </c>
      <c r="BI85" s="158"/>
      <c r="BJ85" s="158"/>
      <c r="BK85" s="158"/>
      <c r="BL85" s="158"/>
      <c r="BM85" s="158"/>
      <c r="BN85" s="158"/>
      <c r="BO85" s="153"/>
      <c r="BP85" s="169" t="s">
        <v>127</v>
      </c>
      <c r="BQ85" s="170"/>
      <c r="BR85" s="169" t="s">
        <v>124</v>
      </c>
      <c r="BS85" s="170"/>
      <c r="BT85" s="85"/>
      <c r="BU85" s="156">
        <v>1530</v>
      </c>
      <c r="BV85" s="152" t="s">
        <v>199</v>
      </c>
      <c r="BW85" s="158"/>
      <c r="BX85" s="158"/>
      <c r="BY85" s="158"/>
      <c r="BZ85" s="158"/>
      <c r="CA85" s="158"/>
      <c r="CB85" s="158"/>
      <c r="CC85" s="153"/>
      <c r="CD85" s="152" t="s">
        <v>201</v>
      </c>
      <c r="CE85" s="153"/>
      <c r="CF85" s="152" t="s">
        <v>123</v>
      </c>
      <c r="CG85" s="153"/>
      <c r="CH85" s="49"/>
      <c r="CI85" s="167" t="s">
        <v>58</v>
      </c>
      <c r="CJ85" s="54"/>
      <c r="CK85" s="134"/>
      <c r="CL85" s="135"/>
      <c r="CM85" s="135"/>
      <c r="CN85" s="135"/>
      <c r="CO85" s="136"/>
    </row>
    <row r="86" spans="1:143" s="32" customFormat="1" ht="12.95" customHeight="1" x14ac:dyDescent="0.2">
      <c r="A86" s="167"/>
      <c r="B86" s="45"/>
      <c r="C86" s="157"/>
      <c r="D86" s="154"/>
      <c r="E86" s="159"/>
      <c r="F86" s="159"/>
      <c r="G86" s="159"/>
      <c r="H86" s="159"/>
      <c r="I86" s="159"/>
      <c r="J86" s="159"/>
      <c r="K86" s="155"/>
      <c r="L86" s="154"/>
      <c r="M86" s="155"/>
      <c r="N86" s="154"/>
      <c r="O86" s="155"/>
      <c r="P86" s="85"/>
      <c r="Q86" s="157"/>
      <c r="R86" s="154"/>
      <c r="S86" s="159"/>
      <c r="T86" s="159"/>
      <c r="U86" s="159"/>
      <c r="V86" s="159"/>
      <c r="W86" s="159"/>
      <c r="X86" s="159"/>
      <c r="Y86" s="155"/>
      <c r="Z86" s="154"/>
      <c r="AA86" s="155"/>
      <c r="AB86" s="154"/>
      <c r="AC86" s="155"/>
      <c r="AD86" s="85"/>
      <c r="AE86" s="157"/>
      <c r="AF86" s="154"/>
      <c r="AG86" s="159"/>
      <c r="AH86" s="159"/>
      <c r="AI86" s="159"/>
      <c r="AJ86" s="159"/>
      <c r="AK86" s="159"/>
      <c r="AL86" s="159"/>
      <c r="AM86" s="155"/>
      <c r="AN86" s="154"/>
      <c r="AO86" s="155"/>
      <c r="AP86" s="154"/>
      <c r="AQ86" s="155"/>
      <c r="AR86" s="85"/>
      <c r="AS86" s="157"/>
      <c r="AT86" s="154"/>
      <c r="AU86" s="159"/>
      <c r="AV86" s="159"/>
      <c r="AW86" s="159"/>
      <c r="AX86" s="159"/>
      <c r="AY86" s="159"/>
      <c r="AZ86" s="159"/>
      <c r="BA86" s="155"/>
      <c r="BB86" s="154"/>
      <c r="BC86" s="155"/>
      <c r="BD86" s="154"/>
      <c r="BE86" s="155"/>
      <c r="BF86" s="85"/>
      <c r="BG86" s="157"/>
      <c r="BH86" s="154"/>
      <c r="BI86" s="159"/>
      <c r="BJ86" s="159"/>
      <c r="BK86" s="159"/>
      <c r="BL86" s="159"/>
      <c r="BM86" s="159"/>
      <c r="BN86" s="159"/>
      <c r="BO86" s="155"/>
      <c r="BP86" s="171"/>
      <c r="BQ86" s="172"/>
      <c r="BR86" s="171"/>
      <c r="BS86" s="172"/>
      <c r="BT86" s="85"/>
      <c r="BU86" s="157"/>
      <c r="BV86" s="154"/>
      <c r="BW86" s="159"/>
      <c r="BX86" s="159"/>
      <c r="BY86" s="159"/>
      <c r="BZ86" s="159"/>
      <c r="CA86" s="159"/>
      <c r="CB86" s="159"/>
      <c r="CC86" s="155"/>
      <c r="CD86" s="154"/>
      <c r="CE86" s="155"/>
      <c r="CF86" s="154"/>
      <c r="CG86" s="155"/>
      <c r="CH86" s="49"/>
      <c r="CI86" s="167"/>
      <c r="CJ86" s="54"/>
      <c r="CK86" s="134"/>
      <c r="CL86" s="135"/>
      <c r="CM86" s="135"/>
      <c r="CN86" s="135"/>
      <c r="CO86" s="136"/>
    </row>
    <row r="87" spans="1:143" s="32" customFormat="1" ht="12.95" customHeight="1" x14ac:dyDescent="0.2">
      <c r="A87" s="167"/>
      <c r="B87" s="45"/>
      <c r="C87" s="156">
        <v>2000</v>
      </c>
      <c r="D87" s="152" t="s">
        <v>210</v>
      </c>
      <c r="E87" s="158"/>
      <c r="F87" s="158"/>
      <c r="G87" s="158"/>
      <c r="H87" s="158"/>
      <c r="I87" s="158"/>
      <c r="J87" s="158"/>
      <c r="K87" s="153"/>
      <c r="L87" s="152" t="s">
        <v>101</v>
      </c>
      <c r="M87" s="153"/>
      <c r="N87" s="152" t="s">
        <v>126</v>
      </c>
      <c r="O87" s="153"/>
      <c r="P87" s="85"/>
      <c r="Q87" s="156">
        <v>2000</v>
      </c>
      <c r="R87" s="152" t="s">
        <v>206</v>
      </c>
      <c r="S87" s="158"/>
      <c r="T87" s="158"/>
      <c r="U87" s="158"/>
      <c r="V87" s="158"/>
      <c r="W87" s="158"/>
      <c r="X87" s="158"/>
      <c r="Y87" s="153"/>
      <c r="Z87" s="152" t="s">
        <v>100</v>
      </c>
      <c r="AA87" s="153"/>
      <c r="AB87" s="152" t="s">
        <v>120</v>
      </c>
      <c r="AC87" s="153"/>
      <c r="AD87" s="85"/>
      <c r="AE87" s="156" t="s">
        <v>164</v>
      </c>
      <c r="AF87" s="152" t="s">
        <v>165</v>
      </c>
      <c r="AG87" s="158"/>
      <c r="AH87" s="158"/>
      <c r="AI87" s="158"/>
      <c r="AJ87" s="158"/>
      <c r="AK87" s="158"/>
      <c r="AL87" s="158"/>
      <c r="AM87" s="153"/>
      <c r="AN87" s="152" t="s">
        <v>100</v>
      </c>
      <c r="AO87" s="153"/>
      <c r="AP87" s="152" t="s">
        <v>166</v>
      </c>
      <c r="AQ87" s="153"/>
      <c r="AR87" s="85"/>
      <c r="AS87" s="156">
        <v>2100</v>
      </c>
      <c r="AT87" s="152" t="s">
        <v>168</v>
      </c>
      <c r="AU87" s="158"/>
      <c r="AV87" s="158"/>
      <c r="AW87" s="158"/>
      <c r="AX87" s="158"/>
      <c r="AY87" s="158"/>
      <c r="AZ87" s="158"/>
      <c r="BA87" s="153"/>
      <c r="BB87" s="152" t="s">
        <v>138</v>
      </c>
      <c r="BC87" s="153"/>
      <c r="BD87" s="152" t="s">
        <v>130</v>
      </c>
      <c r="BE87" s="153"/>
      <c r="BF87" s="85"/>
      <c r="BG87" s="156">
        <v>1200</v>
      </c>
      <c r="BH87" s="152" t="s">
        <v>170</v>
      </c>
      <c r="BI87" s="158"/>
      <c r="BJ87" s="158"/>
      <c r="BK87" s="158"/>
      <c r="BL87" s="158"/>
      <c r="BM87" s="158"/>
      <c r="BN87" s="158"/>
      <c r="BO87" s="153"/>
      <c r="BP87" s="169" t="s">
        <v>127</v>
      </c>
      <c r="BQ87" s="170"/>
      <c r="BR87" s="169" t="s">
        <v>171</v>
      </c>
      <c r="BS87" s="170"/>
      <c r="BT87" s="85"/>
      <c r="BU87" s="156">
        <v>2230</v>
      </c>
      <c r="BV87" s="152" t="s">
        <v>200</v>
      </c>
      <c r="BW87" s="158"/>
      <c r="BX87" s="158"/>
      <c r="BY87" s="158"/>
      <c r="BZ87" s="158"/>
      <c r="CA87" s="158"/>
      <c r="CB87" s="158"/>
      <c r="CC87" s="153"/>
      <c r="CD87" s="152" t="s">
        <v>201</v>
      </c>
      <c r="CE87" s="153"/>
      <c r="CF87" s="152" t="s">
        <v>123</v>
      </c>
      <c r="CG87" s="153"/>
      <c r="CH87" s="49"/>
      <c r="CI87" s="167"/>
      <c r="CJ87" s="54"/>
      <c r="CK87" s="134"/>
      <c r="CL87" s="135"/>
      <c r="CM87" s="135"/>
      <c r="CN87" s="135"/>
      <c r="CO87" s="136"/>
    </row>
    <row r="88" spans="1:143" s="32" customFormat="1" ht="12.95" customHeight="1" x14ac:dyDescent="0.2">
      <c r="A88" s="167"/>
      <c r="B88" s="45"/>
      <c r="C88" s="157"/>
      <c r="D88" s="154"/>
      <c r="E88" s="159"/>
      <c r="F88" s="159"/>
      <c r="G88" s="159"/>
      <c r="H88" s="159"/>
      <c r="I88" s="159"/>
      <c r="J88" s="159"/>
      <c r="K88" s="155"/>
      <c r="L88" s="154"/>
      <c r="M88" s="155"/>
      <c r="N88" s="154"/>
      <c r="O88" s="155"/>
      <c r="P88" s="85"/>
      <c r="Q88" s="157"/>
      <c r="R88" s="154"/>
      <c r="S88" s="159"/>
      <c r="T88" s="159"/>
      <c r="U88" s="159"/>
      <c r="V88" s="159"/>
      <c r="W88" s="159"/>
      <c r="X88" s="159"/>
      <c r="Y88" s="155"/>
      <c r="Z88" s="154"/>
      <c r="AA88" s="155"/>
      <c r="AB88" s="154"/>
      <c r="AC88" s="155"/>
      <c r="AD88" s="85"/>
      <c r="AE88" s="157"/>
      <c r="AF88" s="154"/>
      <c r="AG88" s="159"/>
      <c r="AH88" s="159"/>
      <c r="AI88" s="159"/>
      <c r="AJ88" s="159"/>
      <c r="AK88" s="159"/>
      <c r="AL88" s="159"/>
      <c r="AM88" s="155"/>
      <c r="AN88" s="154"/>
      <c r="AO88" s="155"/>
      <c r="AP88" s="154"/>
      <c r="AQ88" s="155"/>
      <c r="AR88" s="85"/>
      <c r="AS88" s="157"/>
      <c r="AT88" s="154"/>
      <c r="AU88" s="159"/>
      <c r="AV88" s="159"/>
      <c r="AW88" s="159"/>
      <c r="AX88" s="159"/>
      <c r="AY88" s="159"/>
      <c r="AZ88" s="159"/>
      <c r="BA88" s="155"/>
      <c r="BB88" s="154"/>
      <c r="BC88" s="155"/>
      <c r="BD88" s="154"/>
      <c r="BE88" s="155"/>
      <c r="BF88" s="85"/>
      <c r="BG88" s="157"/>
      <c r="BH88" s="154"/>
      <c r="BI88" s="159"/>
      <c r="BJ88" s="159"/>
      <c r="BK88" s="159"/>
      <c r="BL88" s="159"/>
      <c r="BM88" s="159"/>
      <c r="BN88" s="159"/>
      <c r="BO88" s="155"/>
      <c r="BP88" s="171"/>
      <c r="BQ88" s="172"/>
      <c r="BR88" s="171"/>
      <c r="BS88" s="172"/>
      <c r="BT88" s="85"/>
      <c r="BU88" s="157"/>
      <c r="BV88" s="154"/>
      <c r="BW88" s="159"/>
      <c r="BX88" s="159"/>
      <c r="BY88" s="159"/>
      <c r="BZ88" s="159"/>
      <c r="CA88" s="159"/>
      <c r="CB88" s="159"/>
      <c r="CC88" s="155"/>
      <c r="CD88" s="154"/>
      <c r="CE88" s="155"/>
      <c r="CF88" s="154"/>
      <c r="CG88" s="155"/>
      <c r="CH88" s="49"/>
      <c r="CI88" s="167"/>
      <c r="CJ88" s="54"/>
      <c r="CK88" s="134"/>
      <c r="CL88" s="135"/>
      <c r="CM88" s="135"/>
      <c r="CN88" s="135"/>
      <c r="CO88" s="136"/>
    </row>
    <row r="89" spans="1:143" s="32" customFormat="1" ht="12.95" customHeight="1" x14ac:dyDescent="0.2">
      <c r="A89" s="167"/>
      <c r="B89" s="45"/>
      <c r="C89" s="156"/>
      <c r="D89" s="152"/>
      <c r="E89" s="158"/>
      <c r="F89" s="158"/>
      <c r="G89" s="158"/>
      <c r="H89" s="158"/>
      <c r="I89" s="158"/>
      <c r="J89" s="158"/>
      <c r="K89" s="153"/>
      <c r="L89" s="152"/>
      <c r="M89" s="153"/>
      <c r="N89" s="152"/>
      <c r="O89" s="153"/>
      <c r="P89" s="85"/>
      <c r="Q89" s="156">
        <v>2000</v>
      </c>
      <c r="R89" s="152" t="s">
        <v>210</v>
      </c>
      <c r="S89" s="158"/>
      <c r="T89" s="158"/>
      <c r="U89" s="158"/>
      <c r="V89" s="158"/>
      <c r="W89" s="158"/>
      <c r="X89" s="158"/>
      <c r="Y89" s="153"/>
      <c r="Z89" s="152" t="s">
        <v>101</v>
      </c>
      <c r="AA89" s="153"/>
      <c r="AB89" s="152" t="s">
        <v>126</v>
      </c>
      <c r="AC89" s="153"/>
      <c r="AD89" s="85"/>
      <c r="AE89" s="156">
        <v>2000</v>
      </c>
      <c r="AF89" s="152" t="s">
        <v>210</v>
      </c>
      <c r="AG89" s="158"/>
      <c r="AH89" s="158"/>
      <c r="AI89" s="158"/>
      <c r="AJ89" s="158"/>
      <c r="AK89" s="158"/>
      <c r="AL89" s="158"/>
      <c r="AM89" s="153"/>
      <c r="AN89" s="152" t="s">
        <v>101</v>
      </c>
      <c r="AO89" s="153"/>
      <c r="AP89" s="152" t="s">
        <v>126</v>
      </c>
      <c r="AQ89" s="153"/>
      <c r="AR89" s="85"/>
      <c r="AS89" s="156">
        <v>2000</v>
      </c>
      <c r="AT89" s="152" t="s">
        <v>210</v>
      </c>
      <c r="AU89" s="158"/>
      <c r="AV89" s="158"/>
      <c r="AW89" s="158"/>
      <c r="AX89" s="158"/>
      <c r="AY89" s="158"/>
      <c r="AZ89" s="158"/>
      <c r="BA89" s="153"/>
      <c r="BB89" s="152" t="s">
        <v>101</v>
      </c>
      <c r="BC89" s="153"/>
      <c r="BD89" s="152" t="s">
        <v>126</v>
      </c>
      <c r="BE89" s="153"/>
      <c r="BF89" s="85"/>
      <c r="BG89" s="156"/>
      <c r="BH89" s="152"/>
      <c r="BI89" s="158"/>
      <c r="BJ89" s="158"/>
      <c r="BK89" s="158"/>
      <c r="BL89" s="158"/>
      <c r="BM89" s="158"/>
      <c r="BN89" s="158"/>
      <c r="BO89" s="153"/>
      <c r="BP89" s="169"/>
      <c r="BQ89" s="170"/>
      <c r="BR89" s="169"/>
      <c r="BS89" s="170"/>
      <c r="BT89" s="85"/>
      <c r="BU89" s="156"/>
      <c r="BV89" s="152"/>
      <c r="BW89" s="158"/>
      <c r="BX89" s="158"/>
      <c r="BY89" s="158"/>
      <c r="BZ89" s="158"/>
      <c r="CA89" s="158"/>
      <c r="CB89" s="158"/>
      <c r="CC89" s="153"/>
      <c r="CD89" s="163"/>
      <c r="CE89" s="164"/>
      <c r="CF89" s="163"/>
      <c r="CG89" s="164"/>
      <c r="CH89" s="49"/>
      <c r="CI89" s="167"/>
      <c r="CJ89" s="54"/>
      <c r="CK89" s="134"/>
      <c r="CL89" s="135"/>
      <c r="CM89" s="135"/>
      <c r="CN89" s="135"/>
      <c r="CO89" s="136"/>
    </row>
    <row r="90" spans="1:143" s="32" customFormat="1" ht="12.95" customHeight="1" x14ac:dyDescent="0.2">
      <c r="A90" s="167"/>
      <c r="B90" s="45"/>
      <c r="C90" s="157"/>
      <c r="D90" s="154"/>
      <c r="E90" s="159"/>
      <c r="F90" s="159"/>
      <c r="G90" s="159"/>
      <c r="H90" s="159"/>
      <c r="I90" s="159"/>
      <c r="J90" s="159"/>
      <c r="K90" s="155"/>
      <c r="L90" s="154"/>
      <c r="M90" s="155"/>
      <c r="N90" s="154"/>
      <c r="O90" s="155"/>
      <c r="P90" s="85"/>
      <c r="Q90" s="157"/>
      <c r="R90" s="154"/>
      <c r="S90" s="159"/>
      <c r="T90" s="159"/>
      <c r="U90" s="159"/>
      <c r="V90" s="159"/>
      <c r="W90" s="159"/>
      <c r="X90" s="159"/>
      <c r="Y90" s="155"/>
      <c r="Z90" s="154"/>
      <c r="AA90" s="155"/>
      <c r="AB90" s="154"/>
      <c r="AC90" s="155"/>
      <c r="AD90" s="85"/>
      <c r="AE90" s="157"/>
      <c r="AF90" s="154"/>
      <c r="AG90" s="159"/>
      <c r="AH90" s="159"/>
      <c r="AI90" s="159"/>
      <c r="AJ90" s="159"/>
      <c r="AK90" s="159"/>
      <c r="AL90" s="159"/>
      <c r="AM90" s="155"/>
      <c r="AN90" s="154"/>
      <c r="AO90" s="155"/>
      <c r="AP90" s="154"/>
      <c r="AQ90" s="155"/>
      <c r="AR90" s="85"/>
      <c r="AS90" s="157"/>
      <c r="AT90" s="154"/>
      <c r="AU90" s="159"/>
      <c r="AV90" s="159"/>
      <c r="AW90" s="159"/>
      <c r="AX90" s="159"/>
      <c r="AY90" s="159"/>
      <c r="AZ90" s="159"/>
      <c r="BA90" s="155"/>
      <c r="BB90" s="154"/>
      <c r="BC90" s="155"/>
      <c r="BD90" s="154"/>
      <c r="BE90" s="155"/>
      <c r="BF90" s="85"/>
      <c r="BG90" s="157"/>
      <c r="BH90" s="154"/>
      <c r="BI90" s="159"/>
      <c r="BJ90" s="159"/>
      <c r="BK90" s="159"/>
      <c r="BL90" s="159"/>
      <c r="BM90" s="159"/>
      <c r="BN90" s="159"/>
      <c r="BO90" s="155"/>
      <c r="BP90" s="171"/>
      <c r="BQ90" s="172"/>
      <c r="BR90" s="171"/>
      <c r="BS90" s="172"/>
      <c r="BT90" s="85"/>
      <c r="BU90" s="157"/>
      <c r="BV90" s="154"/>
      <c r="BW90" s="159"/>
      <c r="BX90" s="159"/>
      <c r="BY90" s="159"/>
      <c r="BZ90" s="159"/>
      <c r="CA90" s="159"/>
      <c r="CB90" s="159"/>
      <c r="CC90" s="155"/>
      <c r="CD90" s="165"/>
      <c r="CE90" s="166"/>
      <c r="CF90" s="165"/>
      <c r="CG90" s="166"/>
      <c r="CH90" s="49"/>
      <c r="CI90" s="167"/>
      <c r="CJ90" s="54"/>
      <c r="CK90" s="134"/>
      <c r="CL90" s="135"/>
      <c r="CM90" s="135"/>
      <c r="CN90" s="135"/>
      <c r="CO90" s="136"/>
    </row>
    <row r="91" spans="1:143" s="32" customFormat="1" ht="12.95" customHeight="1" x14ac:dyDescent="0.2">
      <c r="A91" s="167"/>
      <c r="B91" s="45"/>
      <c r="C91" s="156"/>
      <c r="D91" s="152"/>
      <c r="E91" s="158"/>
      <c r="F91" s="158"/>
      <c r="G91" s="158"/>
      <c r="H91" s="158"/>
      <c r="I91" s="158"/>
      <c r="J91" s="158"/>
      <c r="K91" s="153"/>
      <c r="L91" s="152"/>
      <c r="M91" s="153"/>
      <c r="N91" s="152"/>
      <c r="O91" s="153"/>
      <c r="P91" s="85"/>
      <c r="Q91" s="156"/>
      <c r="R91" s="152"/>
      <c r="S91" s="158"/>
      <c r="T91" s="158"/>
      <c r="U91" s="158"/>
      <c r="V91" s="158"/>
      <c r="W91" s="158"/>
      <c r="X91" s="158"/>
      <c r="Y91" s="153"/>
      <c r="Z91" s="163"/>
      <c r="AA91" s="164"/>
      <c r="AB91" s="152"/>
      <c r="AC91" s="153"/>
      <c r="AD91" s="85"/>
      <c r="AE91" s="156"/>
      <c r="AF91" s="152"/>
      <c r="AG91" s="158"/>
      <c r="AH91" s="158"/>
      <c r="AI91" s="158"/>
      <c r="AJ91" s="158"/>
      <c r="AK91" s="158"/>
      <c r="AL91" s="158"/>
      <c r="AM91" s="153"/>
      <c r="AN91" s="163"/>
      <c r="AO91" s="164"/>
      <c r="AP91" s="163"/>
      <c r="AQ91" s="164"/>
      <c r="AR91" s="85"/>
      <c r="AS91" s="156"/>
      <c r="AT91" s="152"/>
      <c r="AU91" s="158"/>
      <c r="AV91" s="158"/>
      <c r="AW91" s="158"/>
      <c r="AX91" s="158"/>
      <c r="AY91" s="158"/>
      <c r="AZ91" s="158"/>
      <c r="BA91" s="153"/>
      <c r="BB91" s="152"/>
      <c r="BC91" s="153"/>
      <c r="BD91" s="152"/>
      <c r="BE91" s="153"/>
      <c r="BF91" s="85"/>
      <c r="BG91" s="156"/>
      <c r="BH91" s="152"/>
      <c r="BI91" s="158"/>
      <c r="BJ91" s="158"/>
      <c r="BK91" s="158"/>
      <c r="BL91" s="158"/>
      <c r="BM91" s="158"/>
      <c r="BN91" s="158"/>
      <c r="BO91" s="153"/>
      <c r="BP91" s="169"/>
      <c r="BQ91" s="170"/>
      <c r="BR91" s="169"/>
      <c r="BS91" s="170"/>
      <c r="BT91" s="85"/>
      <c r="BU91" s="156"/>
      <c r="BV91" s="152"/>
      <c r="BW91" s="158"/>
      <c r="BX91" s="158"/>
      <c r="BY91" s="158"/>
      <c r="BZ91" s="158"/>
      <c r="CA91" s="158"/>
      <c r="CB91" s="158"/>
      <c r="CC91" s="153"/>
      <c r="CD91" s="163"/>
      <c r="CE91" s="164"/>
      <c r="CF91" s="163"/>
      <c r="CG91" s="164"/>
      <c r="CH91" s="49"/>
      <c r="CI91" s="167"/>
      <c r="CJ91" s="54"/>
      <c r="CK91" s="134"/>
      <c r="CL91" s="135"/>
      <c r="CM91" s="135"/>
      <c r="CN91" s="135"/>
      <c r="CO91" s="136"/>
    </row>
    <row r="92" spans="1:143" s="32" customFormat="1" ht="12.95" customHeight="1" x14ac:dyDescent="0.2">
      <c r="A92" s="168"/>
      <c r="B92" s="92"/>
      <c r="C92" s="157"/>
      <c r="D92" s="154"/>
      <c r="E92" s="159"/>
      <c r="F92" s="159"/>
      <c r="G92" s="159"/>
      <c r="H92" s="159"/>
      <c r="I92" s="159"/>
      <c r="J92" s="159"/>
      <c r="K92" s="155"/>
      <c r="L92" s="154"/>
      <c r="M92" s="155"/>
      <c r="N92" s="154"/>
      <c r="O92" s="155"/>
      <c r="P92" s="85"/>
      <c r="Q92" s="157"/>
      <c r="R92" s="154"/>
      <c r="S92" s="159"/>
      <c r="T92" s="159"/>
      <c r="U92" s="159"/>
      <c r="V92" s="159"/>
      <c r="W92" s="159"/>
      <c r="X92" s="159"/>
      <c r="Y92" s="155"/>
      <c r="Z92" s="165"/>
      <c r="AA92" s="166"/>
      <c r="AB92" s="154"/>
      <c r="AC92" s="155"/>
      <c r="AD92" s="85"/>
      <c r="AE92" s="157"/>
      <c r="AF92" s="154"/>
      <c r="AG92" s="159"/>
      <c r="AH92" s="159"/>
      <c r="AI92" s="159"/>
      <c r="AJ92" s="159"/>
      <c r="AK92" s="159"/>
      <c r="AL92" s="159"/>
      <c r="AM92" s="155"/>
      <c r="AN92" s="165"/>
      <c r="AO92" s="166"/>
      <c r="AP92" s="165"/>
      <c r="AQ92" s="166"/>
      <c r="AR92" s="85"/>
      <c r="AS92" s="157"/>
      <c r="AT92" s="154"/>
      <c r="AU92" s="159"/>
      <c r="AV92" s="159"/>
      <c r="AW92" s="159"/>
      <c r="AX92" s="159"/>
      <c r="AY92" s="159"/>
      <c r="AZ92" s="159"/>
      <c r="BA92" s="155"/>
      <c r="BB92" s="154"/>
      <c r="BC92" s="155"/>
      <c r="BD92" s="154"/>
      <c r="BE92" s="155"/>
      <c r="BF92" s="85"/>
      <c r="BG92" s="157"/>
      <c r="BH92" s="154"/>
      <c r="BI92" s="159"/>
      <c r="BJ92" s="159"/>
      <c r="BK92" s="159"/>
      <c r="BL92" s="159"/>
      <c r="BM92" s="159"/>
      <c r="BN92" s="159"/>
      <c r="BO92" s="155"/>
      <c r="BP92" s="171"/>
      <c r="BQ92" s="172"/>
      <c r="BR92" s="171"/>
      <c r="BS92" s="172"/>
      <c r="BT92" s="85"/>
      <c r="BU92" s="157"/>
      <c r="BV92" s="154"/>
      <c r="BW92" s="159"/>
      <c r="BX92" s="159"/>
      <c r="BY92" s="159"/>
      <c r="BZ92" s="159"/>
      <c r="CA92" s="159"/>
      <c r="CB92" s="159"/>
      <c r="CC92" s="155"/>
      <c r="CD92" s="165"/>
      <c r="CE92" s="166"/>
      <c r="CF92" s="165"/>
      <c r="CG92" s="166"/>
      <c r="CH92" s="50"/>
      <c r="CI92" s="168"/>
      <c r="CJ92" s="54"/>
      <c r="CK92" s="134"/>
      <c r="CL92" s="135"/>
      <c r="CM92" s="135"/>
      <c r="CN92" s="135"/>
      <c r="CO92" s="136"/>
    </row>
    <row r="93" spans="1:143" ht="12.95" customHeight="1" x14ac:dyDescent="0.2">
      <c r="A93" s="160" t="s">
        <v>2</v>
      </c>
      <c r="B93" s="93"/>
      <c r="C93" s="140" t="s">
        <v>59</v>
      </c>
      <c r="D93" s="141"/>
      <c r="E93" s="141"/>
      <c r="F93" s="141"/>
      <c r="G93" s="124"/>
      <c r="H93" s="124"/>
      <c r="I93" s="124"/>
      <c r="J93" s="124"/>
      <c r="K93" s="149" t="s">
        <v>134</v>
      </c>
      <c r="L93" s="150"/>
      <c r="M93" s="150"/>
      <c r="N93" s="150"/>
      <c r="O93" s="151"/>
      <c r="P93" s="123"/>
      <c r="Q93" s="149" t="s">
        <v>59</v>
      </c>
      <c r="R93" s="150"/>
      <c r="S93" s="150"/>
      <c r="T93" s="150"/>
      <c r="U93" s="150"/>
      <c r="V93" s="150"/>
      <c r="W93" s="150"/>
      <c r="X93" s="151"/>
      <c r="Y93" s="149" t="s">
        <v>135</v>
      </c>
      <c r="Z93" s="150"/>
      <c r="AA93" s="150"/>
      <c r="AB93" s="150"/>
      <c r="AC93" s="151"/>
      <c r="AD93" s="123"/>
      <c r="AE93" s="149" t="s">
        <v>59</v>
      </c>
      <c r="AF93" s="150"/>
      <c r="AG93" s="150"/>
      <c r="AH93" s="150"/>
      <c r="AI93" s="150"/>
      <c r="AJ93" s="150"/>
      <c r="AK93" s="150"/>
      <c r="AL93" s="151"/>
      <c r="AM93" s="149" t="s">
        <v>136</v>
      </c>
      <c r="AN93" s="150"/>
      <c r="AO93" s="150"/>
      <c r="AP93" s="150"/>
      <c r="AQ93" s="151"/>
      <c r="AR93" s="123"/>
      <c r="AS93" s="149" t="s">
        <v>59</v>
      </c>
      <c r="AT93" s="150"/>
      <c r="AU93" s="150"/>
      <c r="AV93" s="150"/>
      <c r="AW93" s="150"/>
      <c r="AX93" s="150"/>
      <c r="AY93" s="150"/>
      <c r="AZ93" s="151"/>
      <c r="BA93" s="149" t="s">
        <v>132</v>
      </c>
      <c r="BB93" s="150"/>
      <c r="BC93" s="150"/>
      <c r="BD93" s="150"/>
      <c r="BE93" s="151"/>
      <c r="BF93" s="123"/>
      <c r="BG93" s="149" t="s">
        <v>59</v>
      </c>
      <c r="BH93" s="150"/>
      <c r="BI93" s="150"/>
      <c r="BJ93" s="150"/>
      <c r="BK93" s="150"/>
      <c r="BL93" s="150"/>
      <c r="BM93" s="150"/>
      <c r="BN93" s="151"/>
      <c r="BO93" s="149" t="s">
        <v>135</v>
      </c>
      <c r="BP93" s="150"/>
      <c r="BQ93" s="150"/>
      <c r="BR93" s="150"/>
      <c r="BS93" s="151"/>
      <c r="BT93" s="123"/>
      <c r="BU93" s="149"/>
      <c r="BV93" s="150"/>
      <c r="BW93" s="150"/>
      <c r="BX93" s="150"/>
      <c r="BY93" s="150"/>
      <c r="BZ93" s="150"/>
      <c r="CA93" s="150"/>
      <c r="CB93" s="151"/>
      <c r="CC93" s="149" t="s">
        <v>135</v>
      </c>
      <c r="CD93" s="150"/>
      <c r="CE93" s="150"/>
      <c r="CF93" s="150"/>
      <c r="CG93" s="151"/>
      <c r="CH93" s="65"/>
      <c r="CI93" s="160" t="s">
        <v>2</v>
      </c>
      <c r="CJ93" s="55"/>
      <c r="CK93" s="134"/>
      <c r="CL93" s="135"/>
      <c r="CM93" s="135"/>
      <c r="CN93" s="135"/>
      <c r="CO93" s="136"/>
    </row>
    <row r="94" spans="1:143" ht="12.95" customHeight="1" x14ac:dyDescent="0.2">
      <c r="A94" s="161"/>
      <c r="B94" s="46"/>
      <c r="C94" s="140" t="s">
        <v>60</v>
      </c>
      <c r="D94" s="141"/>
      <c r="E94" s="141"/>
      <c r="F94" s="142"/>
      <c r="G94" s="124"/>
      <c r="H94" s="124"/>
      <c r="I94" s="124"/>
      <c r="J94" s="124"/>
      <c r="K94" s="143" t="s">
        <v>172</v>
      </c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CB94" s="144"/>
      <c r="CC94" s="144"/>
      <c r="CD94" s="144"/>
      <c r="CE94" s="144"/>
      <c r="CF94" s="144"/>
      <c r="CG94" s="145"/>
      <c r="CH94" s="66"/>
      <c r="CI94" s="161"/>
      <c r="CJ94" s="55"/>
      <c r="CK94" s="134"/>
      <c r="CL94" s="135"/>
      <c r="CM94" s="135"/>
      <c r="CN94" s="135"/>
      <c r="CO94" s="136"/>
    </row>
    <row r="95" spans="1:143" ht="12.95" customHeight="1" x14ac:dyDescent="0.2">
      <c r="A95" s="161"/>
      <c r="B95" s="46"/>
      <c r="C95" s="140" t="s">
        <v>8</v>
      </c>
      <c r="D95" s="141"/>
      <c r="E95" s="141"/>
      <c r="F95" s="142"/>
      <c r="G95" s="124"/>
      <c r="H95" s="124"/>
      <c r="I95" s="124"/>
      <c r="J95" s="124"/>
      <c r="K95" s="143" t="s">
        <v>187</v>
      </c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5"/>
      <c r="CH95" s="66"/>
      <c r="CI95" s="161"/>
      <c r="CJ95" s="55"/>
      <c r="CK95" s="134"/>
      <c r="CL95" s="135"/>
      <c r="CM95" s="135"/>
      <c r="CN95" s="135"/>
      <c r="CO95" s="136"/>
    </row>
    <row r="96" spans="1:143" ht="12.95" customHeight="1" x14ac:dyDescent="0.2">
      <c r="A96" s="162"/>
      <c r="B96" s="47"/>
      <c r="C96" s="146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  <c r="CC96" s="147"/>
      <c r="CD96" s="147"/>
      <c r="CE96" s="147"/>
      <c r="CF96" s="147"/>
      <c r="CG96" s="148"/>
      <c r="CH96" s="67"/>
      <c r="CI96" s="162"/>
      <c r="CJ96" s="56"/>
      <c r="CK96" s="137"/>
      <c r="CL96" s="138"/>
      <c r="CM96" s="138"/>
      <c r="CN96" s="138"/>
      <c r="CO96" s="139"/>
    </row>
  </sheetData>
  <sheetProtection formatCells="0" selectLockedCells="1"/>
  <mergeCells count="338">
    <mergeCell ref="A5:A6"/>
    <mergeCell ref="C5:O5"/>
    <mergeCell ref="Q5:AC5"/>
    <mergeCell ref="AE5:AQ5"/>
    <mergeCell ref="AS5:BE5"/>
    <mergeCell ref="BG5:BS5"/>
    <mergeCell ref="A1:CO1"/>
    <mergeCell ref="G2:CM2"/>
    <mergeCell ref="CN2:CO2"/>
    <mergeCell ref="H3:I3"/>
    <mergeCell ref="K3:L3"/>
    <mergeCell ref="M3:N3"/>
    <mergeCell ref="U3:Y3"/>
    <mergeCell ref="Z3:AB3"/>
    <mergeCell ref="AC3:AH3"/>
    <mergeCell ref="BU5:CG5"/>
    <mergeCell ref="CI5:CI6"/>
    <mergeCell ref="CK5:CO6"/>
    <mergeCell ref="C6:O6"/>
    <mergeCell ref="Q6:AC6"/>
    <mergeCell ref="AE6:AQ6"/>
    <mergeCell ref="AS6:BE6"/>
    <mergeCell ref="BG6:BS6"/>
    <mergeCell ref="BU6:CG6"/>
    <mergeCell ref="Y7:Z7"/>
    <mergeCell ref="BM7:BN7"/>
    <mergeCell ref="BO7:BP7"/>
    <mergeCell ref="AS7:AT7"/>
    <mergeCell ref="AU7:AV7"/>
    <mergeCell ref="AW7:AX7"/>
    <mergeCell ref="AY7:AZ7"/>
    <mergeCell ref="BA7:BB7"/>
    <mergeCell ref="C7:D7"/>
    <mergeCell ref="E7:F7"/>
    <mergeCell ref="G7:H7"/>
    <mergeCell ref="I7:J7"/>
    <mergeCell ref="K7:L7"/>
    <mergeCell ref="AE7:AF7"/>
    <mergeCell ref="AG7:AH7"/>
    <mergeCell ref="AI7:AJ7"/>
    <mergeCell ref="AK7:AL7"/>
    <mergeCell ref="AM7:AN7"/>
    <mergeCell ref="Q7:R7"/>
    <mergeCell ref="S7:T7"/>
    <mergeCell ref="U7:V7"/>
    <mergeCell ref="N7:O7"/>
    <mergeCell ref="AP7:AQ7"/>
    <mergeCell ref="AB7:AC7"/>
    <mergeCell ref="A16:A19"/>
    <mergeCell ref="CI16:CI19"/>
    <mergeCell ref="CK16:CO17"/>
    <mergeCell ref="CK18:CK19"/>
    <mergeCell ref="CL18:CL19"/>
    <mergeCell ref="CM18:CM19"/>
    <mergeCell ref="CN18:CN19"/>
    <mergeCell ref="CO18:CO19"/>
    <mergeCell ref="CK7:CO7"/>
    <mergeCell ref="A8:A11"/>
    <mergeCell ref="CI8:CI11"/>
    <mergeCell ref="CK8:CO11"/>
    <mergeCell ref="A12:A15"/>
    <mergeCell ref="CI12:CI15"/>
    <mergeCell ref="CK12:CO15"/>
    <mergeCell ref="BU7:BV7"/>
    <mergeCell ref="BW7:BX7"/>
    <mergeCell ref="BY7:BZ7"/>
    <mergeCell ref="CA7:CB7"/>
    <mergeCell ref="CC7:CD7"/>
    <mergeCell ref="BG7:BH7"/>
    <mergeCell ref="BI7:BJ7"/>
    <mergeCell ref="BK7:BL7"/>
    <mergeCell ref="W7:X7"/>
    <mergeCell ref="CO20:CO21"/>
    <mergeCell ref="CK22:CK23"/>
    <mergeCell ref="CL22:CL23"/>
    <mergeCell ref="CM22:CM23"/>
    <mergeCell ref="CN22:CN23"/>
    <mergeCell ref="CO22:CO23"/>
    <mergeCell ref="A20:A23"/>
    <mergeCell ref="CI20:CI23"/>
    <mergeCell ref="CK20:CK21"/>
    <mergeCell ref="CL20:CL21"/>
    <mergeCell ref="CM20:CM21"/>
    <mergeCell ref="CN20:CN21"/>
    <mergeCell ref="CO24:CO25"/>
    <mergeCell ref="CK26:CK27"/>
    <mergeCell ref="CL26:CL27"/>
    <mergeCell ref="CM26:CM27"/>
    <mergeCell ref="CN26:CN27"/>
    <mergeCell ref="CO26:CO27"/>
    <mergeCell ref="A24:A27"/>
    <mergeCell ref="CI24:CI27"/>
    <mergeCell ref="CK24:CK25"/>
    <mergeCell ref="CL24:CL25"/>
    <mergeCell ref="CM24:CM25"/>
    <mergeCell ref="CN24:CN25"/>
    <mergeCell ref="CO28:CO29"/>
    <mergeCell ref="CK30:CK31"/>
    <mergeCell ref="CL30:CL31"/>
    <mergeCell ref="CM30:CM31"/>
    <mergeCell ref="CN30:CN31"/>
    <mergeCell ref="CO30:CO31"/>
    <mergeCell ref="A28:A31"/>
    <mergeCell ref="CI28:CI31"/>
    <mergeCell ref="CK28:CK29"/>
    <mergeCell ref="CL28:CL29"/>
    <mergeCell ref="CM28:CM29"/>
    <mergeCell ref="CN28:CN29"/>
    <mergeCell ref="CO32:CO33"/>
    <mergeCell ref="CK34:CK35"/>
    <mergeCell ref="CL34:CL35"/>
    <mergeCell ref="CM34:CM35"/>
    <mergeCell ref="CN34:CN35"/>
    <mergeCell ref="CO34:CO35"/>
    <mergeCell ref="A32:A35"/>
    <mergeCell ref="CI32:CI35"/>
    <mergeCell ref="CK32:CK33"/>
    <mergeCell ref="CL32:CL33"/>
    <mergeCell ref="CM32:CM33"/>
    <mergeCell ref="CN32:CN33"/>
    <mergeCell ref="A40:A43"/>
    <mergeCell ref="CI40:CI43"/>
    <mergeCell ref="CK40:CK41"/>
    <mergeCell ref="CL40:CL41"/>
    <mergeCell ref="CM40:CM41"/>
    <mergeCell ref="CN40:CN41"/>
    <mergeCell ref="CO36:CO37"/>
    <mergeCell ref="CK38:CK39"/>
    <mergeCell ref="CL38:CL39"/>
    <mergeCell ref="CM38:CM39"/>
    <mergeCell ref="CN38:CN39"/>
    <mergeCell ref="CO38:CO39"/>
    <mergeCell ref="A36:A39"/>
    <mergeCell ref="CI36:CI39"/>
    <mergeCell ref="CK36:CK37"/>
    <mergeCell ref="CL36:CL37"/>
    <mergeCell ref="CM36:CM37"/>
    <mergeCell ref="CN36:CN37"/>
    <mergeCell ref="CO40:CO41"/>
    <mergeCell ref="BU41:CG42"/>
    <mergeCell ref="CK42:CK43"/>
    <mergeCell ref="CL42:CL43"/>
    <mergeCell ref="CM42:CM43"/>
    <mergeCell ref="CN42:CN43"/>
    <mergeCell ref="CO42:CO43"/>
    <mergeCell ref="BU43:CG44"/>
    <mergeCell ref="CO44:CO45"/>
    <mergeCell ref="CO46:CO47"/>
    <mergeCell ref="A48:A51"/>
    <mergeCell ref="CI48:CI51"/>
    <mergeCell ref="CK48:CK49"/>
    <mergeCell ref="CL48:CL49"/>
    <mergeCell ref="CM48:CM49"/>
    <mergeCell ref="CN48:CN49"/>
    <mergeCell ref="CO48:CO49"/>
    <mergeCell ref="CK50:CK51"/>
    <mergeCell ref="CL50:CL51"/>
    <mergeCell ref="A44:A47"/>
    <mergeCell ref="CI44:CI47"/>
    <mergeCell ref="CK44:CK45"/>
    <mergeCell ref="CL44:CL45"/>
    <mergeCell ref="CM44:CM45"/>
    <mergeCell ref="CN44:CN45"/>
    <mergeCell ref="CK46:CK47"/>
    <mergeCell ref="CL46:CL47"/>
    <mergeCell ref="CM46:CM47"/>
    <mergeCell ref="CN46:CN47"/>
    <mergeCell ref="CM50:CM51"/>
    <mergeCell ref="CN50:CN51"/>
    <mergeCell ref="CO50:CO51"/>
    <mergeCell ref="A52:A55"/>
    <mergeCell ref="CI52:CI55"/>
    <mergeCell ref="CK53:CO54"/>
    <mergeCell ref="CK55:CO56"/>
    <mergeCell ref="A56:A59"/>
    <mergeCell ref="CI56:CI59"/>
    <mergeCell ref="CK57:CO58"/>
    <mergeCell ref="CK59:CO60"/>
    <mergeCell ref="A60:A63"/>
    <mergeCell ref="CI60:CI63"/>
    <mergeCell ref="CK61:CO62"/>
    <mergeCell ref="CK63:CO64"/>
    <mergeCell ref="A64:A67"/>
    <mergeCell ref="CI64:CI67"/>
    <mergeCell ref="CK65:CO66"/>
    <mergeCell ref="CK67:CO68"/>
    <mergeCell ref="A68:A71"/>
    <mergeCell ref="CI68:CI71"/>
    <mergeCell ref="CK69:CO70"/>
    <mergeCell ref="CK71:CO72"/>
    <mergeCell ref="A72:A75"/>
    <mergeCell ref="CI72:CI75"/>
    <mergeCell ref="CK73:CO74"/>
    <mergeCell ref="CK75:CO76"/>
    <mergeCell ref="A76:A79"/>
    <mergeCell ref="CI76:CI79"/>
    <mergeCell ref="CK77:CO78"/>
    <mergeCell ref="CK79:CO96"/>
    <mergeCell ref="A80:A83"/>
    <mergeCell ref="CI80:CI83"/>
    <mergeCell ref="D84:K84"/>
    <mergeCell ref="L84:M84"/>
    <mergeCell ref="N84:O84"/>
    <mergeCell ref="R84:Y84"/>
    <mergeCell ref="Z84:AA84"/>
    <mergeCell ref="AB84:AC84"/>
    <mergeCell ref="AF84:AM84"/>
    <mergeCell ref="D85:K86"/>
    <mergeCell ref="L85:M86"/>
    <mergeCell ref="N85:O86"/>
    <mergeCell ref="AN84:AO84"/>
    <mergeCell ref="AP84:AQ84"/>
    <mergeCell ref="AT84:BA84"/>
    <mergeCell ref="BB84:BC84"/>
    <mergeCell ref="BD84:BE84"/>
    <mergeCell ref="BH84:BO84"/>
    <mergeCell ref="Z85:AA86"/>
    <mergeCell ref="AB85:AC86"/>
    <mergeCell ref="AE85:AE86"/>
    <mergeCell ref="AF85:AM86"/>
    <mergeCell ref="BP84:BQ84"/>
    <mergeCell ref="BR84:BS84"/>
    <mergeCell ref="BV84:CC84"/>
    <mergeCell ref="CD84:CE84"/>
    <mergeCell ref="CF84:CG84"/>
    <mergeCell ref="CD85:CE86"/>
    <mergeCell ref="CF85:CG86"/>
    <mergeCell ref="CI85:CI92"/>
    <mergeCell ref="C87:C88"/>
    <mergeCell ref="D87:K88"/>
    <mergeCell ref="L87:M88"/>
    <mergeCell ref="N87:O88"/>
    <mergeCell ref="Q87:Q88"/>
    <mergeCell ref="R87:Y88"/>
    <mergeCell ref="Z87:AA88"/>
    <mergeCell ref="BG85:BG86"/>
    <mergeCell ref="BH85:BO86"/>
    <mergeCell ref="BP85:BQ86"/>
    <mergeCell ref="BR85:BS86"/>
    <mergeCell ref="BU85:BU86"/>
    <mergeCell ref="BV85:CC86"/>
    <mergeCell ref="AN85:AO86"/>
    <mergeCell ref="AP85:AQ86"/>
    <mergeCell ref="AS85:AS86"/>
    <mergeCell ref="AT85:BA86"/>
    <mergeCell ref="BB85:BC86"/>
    <mergeCell ref="BD85:BE86"/>
    <mergeCell ref="Q85:Q86"/>
    <mergeCell ref="R85:Y86"/>
    <mergeCell ref="C89:C90"/>
    <mergeCell ref="D89:K90"/>
    <mergeCell ref="L89:M90"/>
    <mergeCell ref="N89:O90"/>
    <mergeCell ref="AF89:AM90"/>
    <mergeCell ref="AN89:AO90"/>
    <mergeCell ref="AS89:AS90"/>
    <mergeCell ref="AT89:BA90"/>
    <mergeCell ref="BB89:BC90"/>
    <mergeCell ref="BD89:BE90"/>
    <mergeCell ref="BG89:BG90"/>
    <mergeCell ref="R89:Y90"/>
    <mergeCell ref="Z89:AA90"/>
    <mergeCell ref="C91:C92"/>
    <mergeCell ref="D91:K92"/>
    <mergeCell ref="L91:M92"/>
    <mergeCell ref="N91:O92"/>
    <mergeCell ref="Q91:Q92"/>
    <mergeCell ref="R91:Y92"/>
    <mergeCell ref="Z91:AA92"/>
    <mergeCell ref="AB91:AC92"/>
    <mergeCell ref="AE91:AE92"/>
    <mergeCell ref="AF87:AM88"/>
    <mergeCell ref="AN87:AO88"/>
    <mergeCell ref="AP87:AQ88"/>
    <mergeCell ref="AS87:AS88"/>
    <mergeCell ref="AB89:AC90"/>
    <mergeCell ref="AE89:AE90"/>
    <mergeCell ref="BV87:CC88"/>
    <mergeCell ref="CD87:CE88"/>
    <mergeCell ref="CF87:CG88"/>
    <mergeCell ref="BH87:BO88"/>
    <mergeCell ref="BP87:BQ88"/>
    <mergeCell ref="CF89:CG90"/>
    <mergeCell ref="BH89:BO90"/>
    <mergeCell ref="BP89:BQ90"/>
    <mergeCell ref="BR89:BS90"/>
    <mergeCell ref="BU89:BU90"/>
    <mergeCell ref="BV89:CC90"/>
    <mergeCell ref="CD89:CE90"/>
    <mergeCell ref="AP89:AQ90"/>
    <mergeCell ref="A93:A96"/>
    <mergeCell ref="C93:F93"/>
    <mergeCell ref="K93:O93"/>
    <mergeCell ref="Q93:X93"/>
    <mergeCell ref="Y93:AC93"/>
    <mergeCell ref="AE93:AL93"/>
    <mergeCell ref="AM93:AQ93"/>
    <mergeCell ref="BD91:BE92"/>
    <mergeCell ref="BG91:BG92"/>
    <mergeCell ref="AF91:AM92"/>
    <mergeCell ref="AN91:AO92"/>
    <mergeCell ref="AP91:AQ92"/>
    <mergeCell ref="AS91:AS92"/>
    <mergeCell ref="AT91:BA92"/>
    <mergeCell ref="BB91:BC92"/>
    <mergeCell ref="A85:A92"/>
    <mergeCell ref="C85:C86"/>
    <mergeCell ref="Q89:Q90"/>
    <mergeCell ref="AT87:BA88"/>
    <mergeCell ref="BB87:BC88"/>
    <mergeCell ref="BD87:BE88"/>
    <mergeCell ref="BG87:BG88"/>
    <mergeCell ref="AB87:AC88"/>
    <mergeCell ref="AE87:AE88"/>
    <mergeCell ref="BD7:BE7"/>
    <mergeCell ref="BR7:BS7"/>
    <mergeCell ref="CF7:CG7"/>
    <mergeCell ref="CI93:CI96"/>
    <mergeCell ref="C94:F94"/>
    <mergeCell ref="K94:CG94"/>
    <mergeCell ref="C95:F95"/>
    <mergeCell ref="K95:CG95"/>
    <mergeCell ref="C96:CG96"/>
    <mergeCell ref="AS93:AZ93"/>
    <mergeCell ref="BA93:BE93"/>
    <mergeCell ref="BG93:BN93"/>
    <mergeCell ref="BO93:BS93"/>
    <mergeCell ref="BU93:CB93"/>
    <mergeCell ref="CC93:CG93"/>
    <mergeCell ref="BV91:CC92"/>
    <mergeCell ref="CD91:CE92"/>
    <mergeCell ref="CF91:CG92"/>
    <mergeCell ref="BH91:BO92"/>
    <mergeCell ref="BP91:BQ92"/>
    <mergeCell ref="BR91:BS92"/>
    <mergeCell ref="BU91:BU92"/>
    <mergeCell ref="BR87:BS88"/>
    <mergeCell ref="BU87:BU88"/>
  </mergeCells>
  <printOptions horizontalCentered="1" verticalCentered="1"/>
  <pageMargins left="0.27559055118110237" right="0.27559055118110237" top="0.31496062992125984" bottom="0.31496062992125984" header="0.31496062992125984" footer="0.31496062992125984"/>
  <pageSetup paperSize="9"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EM96"/>
  <sheetViews>
    <sheetView view="pageBreakPreview" zoomScale="80" zoomScaleNormal="100" zoomScaleSheetLayoutView="80" zoomScalePageLayoutView="90" workbookViewId="0">
      <pane xSplit="1" ySplit="7" topLeftCell="B11" activePane="bottomRight" state="frozen"/>
      <selection pane="topRight" activeCell="B1" sqref="B1"/>
      <selection pane="bottomLeft" activeCell="A6" sqref="A6"/>
      <selection pane="bottomRight" activeCell="AB40" sqref="AB40"/>
    </sheetView>
  </sheetViews>
  <sheetFormatPr baseColWidth="10" defaultRowHeight="12.75" x14ac:dyDescent="0.2"/>
  <cols>
    <col min="1" max="1" width="5.7109375" style="1" customWidth="1"/>
    <col min="2" max="2" width="0.85546875" style="1" customWidth="1"/>
    <col min="3" max="14" width="3.42578125" style="1" customWidth="1"/>
    <col min="15" max="15" width="3.7109375" style="1" customWidth="1"/>
    <col min="16" max="16" width="0.85546875" style="1" customWidth="1"/>
    <col min="17" max="28" width="3.42578125" style="1" customWidth="1"/>
    <col min="29" max="29" width="3.7109375" style="1" customWidth="1"/>
    <col min="30" max="30" width="0.85546875" style="1" customWidth="1"/>
    <col min="31" max="42" width="3.42578125" style="1" customWidth="1"/>
    <col min="43" max="43" width="3.7109375" style="1" customWidth="1"/>
    <col min="44" max="44" width="0.85546875" style="1" customWidth="1"/>
    <col min="45" max="56" width="3.42578125" style="1" customWidth="1"/>
    <col min="57" max="57" width="3.7109375" style="1" customWidth="1"/>
    <col min="58" max="58" width="0.85546875" style="1" customWidth="1"/>
    <col min="59" max="70" width="3.42578125" style="1" customWidth="1"/>
    <col min="71" max="71" width="3.7109375" style="1" customWidth="1"/>
    <col min="72" max="72" width="0.85546875" style="1" customWidth="1"/>
    <col min="73" max="85" width="3.28515625" style="1" customWidth="1"/>
    <col min="86" max="86" width="0.85546875" style="1" customWidth="1"/>
    <col min="87" max="87" width="5.7109375" style="1" customWidth="1"/>
    <col min="88" max="88" width="0.85546875" style="1" customWidth="1"/>
    <col min="89" max="89" width="2.7109375" style="1" customWidth="1"/>
    <col min="90" max="90" width="3.7109375" style="1" customWidth="1"/>
    <col min="91" max="91" width="18.7109375" style="1" customWidth="1"/>
    <col min="92" max="92" width="11.7109375" style="1" customWidth="1"/>
    <col min="93" max="93" width="4.28515625" style="1" customWidth="1"/>
    <col min="94" max="16384" width="11.42578125" style="1"/>
  </cols>
  <sheetData>
    <row r="1" spans="1:143" ht="18" x14ac:dyDescent="0.25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</row>
    <row r="2" spans="1:143" ht="20.100000000000001" customHeight="1" x14ac:dyDescent="0.25">
      <c r="A2" s="94" t="s">
        <v>99</v>
      </c>
      <c r="B2" s="94"/>
      <c r="C2" s="77"/>
      <c r="D2" s="77"/>
      <c r="E2" s="77"/>
      <c r="F2" s="77"/>
      <c r="G2" s="254" t="s">
        <v>96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  <c r="CG2" s="254"/>
      <c r="CH2" s="254"/>
      <c r="CI2" s="254"/>
      <c r="CJ2" s="254"/>
      <c r="CK2" s="254"/>
      <c r="CL2" s="254"/>
      <c r="CM2" s="254"/>
      <c r="CN2" s="255">
        <f ca="1">TODAY()</f>
        <v>43915</v>
      </c>
      <c r="CO2" s="255"/>
    </row>
    <row r="3" spans="1:143" s="40" customFormat="1" ht="20.100000000000001" customHeight="1" x14ac:dyDescent="0.25">
      <c r="A3" s="80" t="s">
        <v>34</v>
      </c>
      <c r="B3" s="80"/>
      <c r="C3" s="80"/>
      <c r="D3" s="80"/>
      <c r="E3" s="80"/>
      <c r="F3" s="80"/>
      <c r="G3" s="82"/>
      <c r="H3" s="256">
        <v>25</v>
      </c>
      <c r="I3" s="256"/>
      <c r="J3" s="82"/>
      <c r="K3" s="257" t="s">
        <v>94</v>
      </c>
      <c r="L3" s="257"/>
      <c r="M3" s="256">
        <v>2</v>
      </c>
      <c r="N3" s="256"/>
      <c r="O3" s="82"/>
      <c r="P3" s="79"/>
      <c r="Q3" s="82"/>
      <c r="R3" s="82"/>
      <c r="S3" s="80" t="s">
        <v>35</v>
      </c>
      <c r="T3" s="81"/>
      <c r="U3" s="258">
        <v>43997</v>
      </c>
      <c r="V3" s="258"/>
      <c r="W3" s="258"/>
      <c r="X3" s="258"/>
      <c r="Y3" s="258"/>
      <c r="Z3" s="259" t="s">
        <v>36</v>
      </c>
      <c r="AA3" s="259"/>
      <c r="AB3" s="259"/>
      <c r="AC3" s="260">
        <f>U3+6</f>
        <v>44003</v>
      </c>
      <c r="AD3" s="260"/>
      <c r="AE3" s="260"/>
      <c r="AF3" s="260"/>
      <c r="AG3" s="260"/>
      <c r="AH3" s="260"/>
      <c r="AI3" s="73"/>
      <c r="AJ3" s="73"/>
      <c r="AK3" s="74"/>
      <c r="AL3" s="74"/>
      <c r="AM3" s="74"/>
      <c r="AN3" s="75"/>
      <c r="AO3" s="76"/>
      <c r="AP3" s="76"/>
      <c r="AQ3" s="76"/>
      <c r="AR3" s="77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7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5"/>
      <c r="BR3" s="58"/>
      <c r="BS3" s="58"/>
      <c r="BT3" s="77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78"/>
      <c r="CM3" s="78"/>
      <c r="CN3" s="83"/>
      <c r="CO3" s="84" t="s">
        <v>147</v>
      </c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</row>
    <row r="4" spans="1:143" s="40" customFormat="1" ht="5.0999999999999996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6"/>
      <c r="L4" s="97"/>
      <c r="M4" s="97"/>
      <c r="N4" s="95"/>
      <c r="O4" s="95"/>
      <c r="P4" s="98"/>
      <c r="Q4" s="95"/>
      <c r="R4" s="99"/>
      <c r="S4" s="99"/>
      <c r="T4" s="99"/>
      <c r="U4" s="99"/>
      <c r="V4" s="99"/>
      <c r="W4" s="99"/>
      <c r="X4" s="99"/>
      <c r="Y4" s="99"/>
      <c r="Z4" s="100"/>
      <c r="AA4" s="96"/>
      <c r="AB4" s="101"/>
      <c r="AC4" s="101"/>
      <c r="AD4" s="101"/>
      <c r="AE4" s="101"/>
      <c r="AF4" s="101"/>
      <c r="AG4" s="101"/>
      <c r="AH4" s="101"/>
      <c r="AI4" s="101"/>
      <c r="AJ4" s="101"/>
      <c r="AK4" s="95"/>
      <c r="AL4" s="95"/>
      <c r="AM4" s="95"/>
      <c r="AN4" s="102"/>
      <c r="AO4" s="103"/>
      <c r="AP4" s="103"/>
      <c r="AQ4" s="103"/>
      <c r="AR4" s="98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98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2"/>
      <c r="BR4" s="104"/>
      <c r="BS4" s="104"/>
      <c r="BT4" s="98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5"/>
      <c r="CM4" s="105"/>
      <c r="CN4" s="105"/>
      <c r="CO4" s="106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</row>
    <row r="5" spans="1:143" ht="15" customHeight="1" x14ac:dyDescent="0.25">
      <c r="A5" s="248"/>
      <c r="B5" s="43"/>
      <c r="C5" s="250" t="s">
        <v>33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P5" s="70"/>
      <c r="Q5" s="250" t="s">
        <v>93</v>
      </c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2"/>
      <c r="AD5" s="70"/>
      <c r="AE5" s="250" t="s">
        <v>37</v>
      </c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2"/>
      <c r="AR5" s="70"/>
      <c r="AS5" s="250" t="s">
        <v>39</v>
      </c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2"/>
      <c r="BF5" s="70"/>
      <c r="BG5" s="250" t="s">
        <v>40</v>
      </c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2"/>
      <c r="BT5" s="70"/>
      <c r="BU5" s="250" t="s">
        <v>41</v>
      </c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2"/>
      <c r="CH5" s="71"/>
      <c r="CI5" s="248"/>
      <c r="CJ5" s="71"/>
      <c r="CK5" s="187" t="s">
        <v>43</v>
      </c>
      <c r="CL5" s="188"/>
      <c r="CM5" s="188"/>
      <c r="CN5" s="188"/>
      <c r="CO5" s="189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</row>
    <row r="6" spans="1:143" ht="15" customHeight="1" x14ac:dyDescent="0.2">
      <c r="A6" s="249"/>
      <c r="B6" s="90"/>
      <c r="C6" s="261">
        <f>U3</f>
        <v>43997</v>
      </c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3"/>
      <c r="P6" s="85"/>
      <c r="Q6" s="261">
        <f>$U$3+1</f>
        <v>43998</v>
      </c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3"/>
      <c r="AD6" s="85"/>
      <c r="AE6" s="261">
        <f>$U$3+2</f>
        <v>43999</v>
      </c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3"/>
      <c r="AR6" s="85"/>
      <c r="AS6" s="261">
        <f>$U$3+3</f>
        <v>44000</v>
      </c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3"/>
      <c r="BF6" s="85"/>
      <c r="BG6" s="261">
        <f>$U$3+4</f>
        <v>44001</v>
      </c>
      <c r="BH6" s="262"/>
      <c r="BI6" s="262"/>
      <c r="BJ6" s="262"/>
      <c r="BK6" s="262"/>
      <c r="BL6" s="262"/>
      <c r="BM6" s="262"/>
      <c r="BN6" s="262"/>
      <c r="BO6" s="262"/>
      <c r="BP6" s="262"/>
      <c r="BQ6" s="262"/>
      <c r="BR6" s="262"/>
      <c r="BS6" s="263"/>
      <c r="BT6" s="85"/>
      <c r="BU6" s="261">
        <f>$U$3+5</f>
        <v>44002</v>
      </c>
      <c r="BV6" s="262"/>
      <c r="BW6" s="262"/>
      <c r="BX6" s="262"/>
      <c r="BY6" s="262"/>
      <c r="BZ6" s="262"/>
      <c r="CA6" s="262"/>
      <c r="CB6" s="262"/>
      <c r="CC6" s="262"/>
      <c r="CD6" s="262"/>
      <c r="CE6" s="262"/>
      <c r="CF6" s="262"/>
      <c r="CG6" s="263"/>
      <c r="CH6" s="58"/>
      <c r="CI6" s="249"/>
      <c r="CJ6" s="58"/>
      <c r="CK6" s="190"/>
      <c r="CL6" s="191"/>
      <c r="CM6" s="191"/>
      <c r="CN6" s="191"/>
      <c r="CO6" s="19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</row>
    <row r="7" spans="1:143" ht="70.5" customHeight="1" x14ac:dyDescent="0.2">
      <c r="A7" s="39" t="s">
        <v>38</v>
      </c>
      <c r="B7" s="90"/>
      <c r="C7" s="240" t="s">
        <v>118</v>
      </c>
      <c r="D7" s="241"/>
      <c r="E7" s="242" t="s">
        <v>115</v>
      </c>
      <c r="F7" s="241"/>
      <c r="G7" s="243" t="s">
        <v>116</v>
      </c>
      <c r="H7" s="241"/>
      <c r="I7" s="242" t="s">
        <v>117</v>
      </c>
      <c r="J7" s="241"/>
      <c r="K7" s="242" t="s">
        <v>209</v>
      </c>
      <c r="L7" s="241"/>
      <c r="M7" s="127"/>
      <c r="N7" s="244" t="s">
        <v>1</v>
      </c>
      <c r="O7" s="245"/>
      <c r="P7" s="57"/>
      <c r="Q7" s="240" t="s">
        <v>118</v>
      </c>
      <c r="R7" s="241"/>
      <c r="S7" s="242" t="s">
        <v>115</v>
      </c>
      <c r="T7" s="241"/>
      <c r="U7" s="243" t="s">
        <v>116</v>
      </c>
      <c r="V7" s="241"/>
      <c r="W7" s="242" t="s">
        <v>117</v>
      </c>
      <c r="X7" s="241"/>
      <c r="Y7" s="242" t="s">
        <v>209</v>
      </c>
      <c r="Z7" s="241"/>
      <c r="AA7" s="127"/>
      <c r="AB7" s="244" t="s">
        <v>1</v>
      </c>
      <c r="AC7" s="245"/>
      <c r="AD7" s="57"/>
      <c r="AE7" s="240" t="s">
        <v>118</v>
      </c>
      <c r="AF7" s="241"/>
      <c r="AG7" s="242" t="s">
        <v>115</v>
      </c>
      <c r="AH7" s="241"/>
      <c r="AI7" s="243" t="s">
        <v>116</v>
      </c>
      <c r="AJ7" s="241"/>
      <c r="AK7" s="242" t="s">
        <v>117</v>
      </c>
      <c r="AL7" s="241"/>
      <c r="AM7" s="242" t="s">
        <v>209</v>
      </c>
      <c r="AN7" s="241"/>
      <c r="AO7" s="127"/>
      <c r="AP7" s="244" t="s">
        <v>1</v>
      </c>
      <c r="AQ7" s="245"/>
      <c r="AR7" s="57"/>
      <c r="AS7" s="240" t="s">
        <v>118</v>
      </c>
      <c r="AT7" s="241"/>
      <c r="AU7" s="242" t="s">
        <v>115</v>
      </c>
      <c r="AV7" s="241"/>
      <c r="AW7" s="243" t="s">
        <v>116</v>
      </c>
      <c r="AX7" s="241"/>
      <c r="AY7" s="242" t="s">
        <v>117</v>
      </c>
      <c r="AZ7" s="241"/>
      <c r="BA7" s="242" t="s">
        <v>209</v>
      </c>
      <c r="BB7" s="241"/>
      <c r="BC7" s="127"/>
      <c r="BD7" s="244" t="s">
        <v>1</v>
      </c>
      <c r="BE7" s="245"/>
      <c r="BF7" s="57"/>
      <c r="BG7" s="240" t="s">
        <v>118</v>
      </c>
      <c r="BH7" s="241"/>
      <c r="BI7" s="242" t="s">
        <v>115</v>
      </c>
      <c r="BJ7" s="241"/>
      <c r="BK7" s="243" t="s">
        <v>116</v>
      </c>
      <c r="BL7" s="241"/>
      <c r="BM7" s="242" t="s">
        <v>117</v>
      </c>
      <c r="BN7" s="241"/>
      <c r="BO7" s="242" t="s">
        <v>209</v>
      </c>
      <c r="BP7" s="241"/>
      <c r="BQ7" s="127"/>
      <c r="BR7" s="244" t="s">
        <v>1</v>
      </c>
      <c r="BS7" s="245"/>
      <c r="BT7" s="57"/>
      <c r="BU7" s="240" t="s">
        <v>118</v>
      </c>
      <c r="BV7" s="241"/>
      <c r="BW7" s="242" t="s">
        <v>115</v>
      </c>
      <c r="BX7" s="241"/>
      <c r="BY7" s="243" t="s">
        <v>116</v>
      </c>
      <c r="BZ7" s="241"/>
      <c r="CA7" s="242" t="s">
        <v>117</v>
      </c>
      <c r="CB7" s="241"/>
      <c r="CC7" s="242" t="s">
        <v>209</v>
      </c>
      <c r="CD7" s="241"/>
      <c r="CE7" s="127"/>
      <c r="CF7" s="244" t="s">
        <v>1</v>
      </c>
      <c r="CG7" s="245"/>
      <c r="CH7" s="58"/>
      <c r="CI7" s="39" t="s">
        <v>38</v>
      </c>
      <c r="CJ7" s="58"/>
      <c r="CK7" s="298" t="s">
        <v>192</v>
      </c>
      <c r="CL7" s="299"/>
      <c r="CM7" s="299"/>
      <c r="CN7" s="299"/>
      <c r="CO7" s="300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</row>
    <row r="8" spans="1:143" s="4" customFormat="1" ht="11.45" customHeight="1" x14ac:dyDescent="0.2">
      <c r="A8" s="182">
        <v>600</v>
      </c>
      <c r="B8" s="44"/>
      <c r="C8" s="5"/>
      <c r="D8" s="6"/>
      <c r="E8" s="6"/>
      <c r="F8" s="7"/>
      <c r="G8" s="8"/>
      <c r="H8" s="8"/>
      <c r="I8" s="8"/>
      <c r="J8" s="8"/>
      <c r="K8" s="8"/>
      <c r="L8" s="9"/>
      <c r="M8" s="9"/>
      <c r="N8" s="10"/>
      <c r="O8" s="11"/>
      <c r="P8" s="57"/>
      <c r="Q8" s="5"/>
      <c r="R8" s="6"/>
      <c r="S8" s="6"/>
      <c r="T8" s="6"/>
      <c r="U8" s="6"/>
      <c r="V8" s="6"/>
      <c r="W8" s="6"/>
      <c r="X8" s="7"/>
      <c r="Y8" s="8"/>
      <c r="Z8" s="8"/>
      <c r="AA8" s="9"/>
      <c r="AB8" s="10"/>
      <c r="AC8" s="11"/>
      <c r="AD8" s="57"/>
      <c r="AE8" s="5"/>
      <c r="AF8" s="6"/>
      <c r="AG8" s="6"/>
      <c r="AH8" s="6"/>
      <c r="AI8" s="6"/>
      <c r="AJ8" s="6"/>
      <c r="AK8" s="6"/>
      <c r="AL8" s="6"/>
      <c r="AM8" s="7"/>
      <c r="AN8" s="8"/>
      <c r="AO8" s="9"/>
      <c r="AP8" s="10"/>
      <c r="AQ8" s="11"/>
      <c r="AR8" s="57"/>
      <c r="AS8" s="5"/>
      <c r="AT8" s="6"/>
      <c r="AU8" s="6"/>
      <c r="AV8" s="6"/>
      <c r="AW8" s="6"/>
      <c r="AX8" s="6"/>
      <c r="AY8" s="6"/>
      <c r="AZ8" s="7"/>
      <c r="BA8" s="8"/>
      <c r="BB8" s="8"/>
      <c r="BC8" s="9"/>
      <c r="BD8" s="10"/>
      <c r="BE8" s="11"/>
      <c r="BF8" s="57"/>
      <c r="BG8" s="5"/>
      <c r="BH8" s="6"/>
      <c r="BI8" s="6"/>
      <c r="BJ8" s="6"/>
      <c r="BK8" s="6"/>
      <c r="BL8" s="6"/>
      <c r="BM8" s="6"/>
      <c r="BN8" s="6"/>
      <c r="BO8" s="7"/>
      <c r="BP8" s="8"/>
      <c r="BQ8" s="9"/>
      <c r="BR8" s="10"/>
      <c r="BS8" s="11"/>
      <c r="BT8" s="57"/>
      <c r="BU8" s="5"/>
      <c r="BV8" s="6"/>
      <c r="BW8" s="6"/>
      <c r="BX8" s="6"/>
      <c r="BY8" s="6"/>
      <c r="BZ8" s="6"/>
      <c r="CA8" s="6"/>
      <c r="CB8" s="7"/>
      <c r="CC8" s="8"/>
      <c r="CD8" s="8"/>
      <c r="CE8" s="9"/>
      <c r="CF8" s="10"/>
      <c r="CG8" s="11"/>
      <c r="CH8" s="61"/>
      <c r="CI8" s="182">
        <v>600</v>
      </c>
      <c r="CJ8" s="52"/>
      <c r="CK8" s="270" t="s">
        <v>193</v>
      </c>
      <c r="CL8" s="271"/>
      <c r="CM8" s="271"/>
      <c r="CN8" s="271"/>
      <c r="CO8" s="272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</row>
    <row r="9" spans="1:143" s="4" customFormat="1" ht="11.45" customHeight="1" x14ac:dyDescent="0.2">
      <c r="A9" s="182"/>
      <c r="B9" s="44"/>
      <c r="C9" s="12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5"/>
      <c r="P9" s="57"/>
      <c r="Q9" s="12"/>
      <c r="R9" s="13"/>
      <c r="S9" s="13"/>
      <c r="T9" s="13"/>
      <c r="U9" s="13"/>
      <c r="V9" s="13"/>
      <c r="W9" s="13"/>
      <c r="X9" s="14"/>
      <c r="Y9" s="14"/>
      <c r="Z9" s="14"/>
      <c r="AA9" s="14"/>
      <c r="AB9" s="14"/>
      <c r="AC9" s="15"/>
      <c r="AD9" s="57"/>
      <c r="AE9" s="12"/>
      <c r="AF9" s="13"/>
      <c r="AG9" s="13"/>
      <c r="AH9" s="13"/>
      <c r="AI9" s="13"/>
      <c r="AJ9" s="13"/>
      <c r="AK9" s="13"/>
      <c r="AL9" s="13"/>
      <c r="AM9" s="14"/>
      <c r="AN9" s="14"/>
      <c r="AO9" s="14"/>
      <c r="AP9" s="14"/>
      <c r="AQ9" s="15"/>
      <c r="AR9" s="57"/>
      <c r="AS9" s="12"/>
      <c r="AT9" s="13"/>
      <c r="AU9" s="13"/>
      <c r="AV9" s="13"/>
      <c r="AW9" s="13"/>
      <c r="AX9" s="13"/>
      <c r="AY9" s="13"/>
      <c r="AZ9" s="14"/>
      <c r="BA9" s="14"/>
      <c r="BB9" s="14"/>
      <c r="BC9" s="14"/>
      <c r="BD9" s="14"/>
      <c r="BE9" s="15"/>
      <c r="BF9" s="57"/>
      <c r="BG9" s="12"/>
      <c r="BH9" s="13"/>
      <c r="BI9" s="13"/>
      <c r="BJ9" s="13"/>
      <c r="BK9" s="13"/>
      <c r="BL9" s="13"/>
      <c r="BM9" s="13"/>
      <c r="BN9" s="13"/>
      <c r="BO9" s="14"/>
      <c r="BP9" s="14"/>
      <c r="BQ9" s="14"/>
      <c r="BR9" s="14"/>
      <c r="BS9" s="15"/>
      <c r="BT9" s="57"/>
      <c r="BU9" s="12"/>
      <c r="BV9" s="13"/>
      <c r="BW9" s="13"/>
      <c r="BX9" s="13"/>
      <c r="BY9" s="13"/>
      <c r="BZ9" s="13"/>
      <c r="CA9" s="13"/>
      <c r="CB9" s="14"/>
      <c r="CC9" s="14"/>
      <c r="CD9" s="14"/>
      <c r="CE9" s="14"/>
      <c r="CF9" s="14"/>
      <c r="CG9" s="15"/>
      <c r="CH9" s="61"/>
      <c r="CI9" s="182"/>
      <c r="CJ9" s="52"/>
      <c r="CK9" s="273"/>
      <c r="CL9" s="274"/>
      <c r="CM9" s="274"/>
      <c r="CN9" s="274"/>
      <c r="CO9" s="275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</row>
    <row r="10" spans="1:143" s="4" customFormat="1" ht="11.45" customHeight="1" x14ac:dyDescent="0.2">
      <c r="A10" s="182"/>
      <c r="B10" s="44"/>
      <c r="C10" s="5"/>
      <c r="D10" s="6"/>
      <c r="E10" s="6"/>
      <c r="F10" s="7"/>
      <c r="G10" s="8"/>
      <c r="H10" s="8"/>
      <c r="I10" s="8"/>
      <c r="J10" s="8"/>
      <c r="K10" s="8"/>
      <c r="L10" s="9"/>
      <c r="M10" s="9"/>
      <c r="N10" s="10"/>
      <c r="O10" s="11"/>
      <c r="P10" s="57"/>
      <c r="Q10" s="5"/>
      <c r="R10" s="6"/>
      <c r="S10" s="6"/>
      <c r="T10" s="6"/>
      <c r="U10" s="6"/>
      <c r="V10" s="6"/>
      <c r="W10" s="6"/>
      <c r="X10" s="7"/>
      <c r="Y10" s="8"/>
      <c r="Z10" s="8"/>
      <c r="AA10" s="9"/>
      <c r="AB10" s="10"/>
      <c r="AC10" s="11"/>
      <c r="AD10" s="57"/>
      <c r="AE10" s="5"/>
      <c r="AF10" s="6"/>
      <c r="AG10" s="6"/>
      <c r="AH10" s="6"/>
      <c r="AI10" s="6"/>
      <c r="AJ10" s="6"/>
      <c r="AK10" s="6"/>
      <c r="AL10" s="6"/>
      <c r="AM10" s="7"/>
      <c r="AN10" s="8"/>
      <c r="AO10" s="9"/>
      <c r="AP10" s="10"/>
      <c r="AQ10" s="11"/>
      <c r="AR10" s="57"/>
      <c r="AS10" s="5"/>
      <c r="AT10" s="6"/>
      <c r="AU10" s="6"/>
      <c r="AV10" s="6"/>
      <c r="AW10" s="6"/>
      <c r="AX10" s="6"/>
      <c r="AY10" s="6"/>
      <c r="AZ10" s="7"/>
      <c r="BA10" s="8"/>
      <c r="BB10" s="8"/>
      <c r="BC10" s="9"/>
      <c r="BD10" s="10"/>
      <c r="BE10" s="11"/>
      <c r="BF10" s="57"/>
      <c r="BG10" s="5"/>
      <c r="BH10" s="6"/>
      <c r="BI10" s="6"/>
      <c r="BJ10" s="6"/>
      <c r="BK10" s="6"/>
      <c r="BL10" s="6"/>
      <c r="BM10" s="6"/>
      <c r="BN10" s="6"/>
      <c r="BO10" s="7"/>
      <c r="BP10" s="8"/>
      <c r="BQ10" s="9"/>
      <c r="BR10" s="10"/>
      <c r="BS10" s="11"/>
      <c r="BT10" s="57"/>
      <c r="BU10" s="5"/>
      <c r="BV10" s="6"/>
      <c r="BW10" s="6"/>
      <c r="BX10" s="6"/>
      <c r="BY10" s="6"/>
      <c r="BZ10" s="6"/>
      <c r="CA10" s="6"/>
      <c r="CB10" s="7"/>
      <c r="CC10" s="8"/>
      <c r="CD10" s="8"/>
      <c r="CE10" s="9"/>
      <c r="CF10" s="10"/>
      <c r="CG10" s="11"/>
      <c r="CH10" s="61"/>
      <c r="CI10" s="182"/>
      <c r="CJ10" s="52"/>
      <c r="CK10" s="273"/>
      <c r="CL10" s="274"/>
      <c r="CM10" s="274"/>
      <c r="CN10" s="274"/>
      <c r="CO10" s="275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</row>
    <row r="11" spans="1:143" s="4" customFormat="1" ht="11.45" customHeight="1" x14ac:dyDescent="0.2">
      <c r="A11" s="182"/>
      <c r="B11" s="44"/>
      <c r="C11" s="12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57"/>
      <c r="Q11" s="12"/>
      <c r="R11" s="13"/>
      <c r="S11" s="13"/>
      <c r="T11" s="13"/>
      <c r="U11" s="13"/>
      <c r="V11" s="13"/>
      <c r="W11" s="13"/>
      <c r="X11" s="14"/>
      <c r="Y11" s="14"/>
      <c r="Z11" s="14"/>
      <c r="AA11" s="14"/>
      <c r="AB11" s="14"/>
      <c r="AC11" s="15"/>
      <c r="AD11" s="57"/>
      <c r="AE11" s="12"/>
      <c r="AF11" s="13"/>
      <c r="AG11" s="13"/>
      <c r="AH11" s="13"/>
      <c r="AI11" s="13"/>
      <c r="AJ11" s="13"/>
      <c r="AK11" s="13"/>
      <c r="AL11" s="13"/>
      <c r="AM11" s="14"/>
      <c r="AN11" s="14"/>
      <c r="AO11" s="14"/>
      <c r="AP11" s="14"/>
      <c r="AQ11" s="15"/>
      <c r="AR11" s="57"/>
      <c r="AS11" s="12"/>
      <c r="AT11" s="13"/>
      <c r="AU11" s="13"/>
      <c r="AV11" s="13"/>
      <c r="AW11" s="13"/>
      <c r="AX11" s="13"/>
      <c r="AY11" s="13"/>
      <c r="AZ11" s="14"/>
      <c r="BA11" s="14"/>
      <c r="BB11" s="14"/>
      <c r="BC11" s="14"/>
      <c r="BD11" s="14"/>
      <c r="BE11" s="15"/>
      <c r="BF11" s="57"/>
      <c r="BG11" s="12"/>
      <c r="BH11" s="13"/>
      <c r="BI11" s="13"/>
      <c r="BJ11" s="13"/>
      <c r="BK11" s="13"/>
      <c r="BL11" s="13"/>
      <c r="BM11" s="13"/>
      <c r="BN11" s="13"/>
      <c r="BO11" s="14"/>
      <c r="BP11" s="14"/>
      <c r="BQ11" s="14"/>
      <c r="BR11" s="14"/>
      <c r="BS11" s="15"/>
      <c r="BT11" s="57"/>
      <c r="BU11" s="12"/>
      <c r="BV11" s="13"/>
      <c r="BW11" s="13"/>
      <c r="BX11" s="13"/>
      <c r="BY11" s="13"/>
      <c r="BZ11" s="13"/>
      <c r="CA11" s="13"/>
      <c r="CB11" s="14"/>
      <c r="CC11" s="14"/>
      <c r="CD11" s="14"/>
      <c r="CE11" s="14"/>
      <c r="CF11" s="14"/>
      <c r="CG11" s="15"/>
      <c r="CH11" s="61"/>
      <c r="CI11" s="182"/>
      <c r="CJ11" s="52"/>
      <c r="CK11" s="276"/>
      <c r="CL11" s="277"/>
      <c r="CM11" s="277"/>
      <c r="CN11" s="277"/>
      <c r="CO11" s="278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1:143" s="4" customFormat="1" ht="11.45" customHeight="1" x14ac:dyDescent="0.2">
      <c r="A12" s="182">
        <v>700</v>
      </c>
      <c r="B12" s="44"/>
      <c r="C12" s="5"/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57"/>
      <c r="Q12" s="5"/>
      <c r="R12" s="9"/>
      <c r="S12" s="9"/>
      <c r="T12" s="9"/>
      <c r="U12" s="9"/>
      <c r="V12" s="9"/>
      <c r="W12" s="9"/>
      <c r="X12" s="10"/>
      <c r="Y12" s="10"/>
      <c r="Z12" s="10"/>
      <c r="AA12" s="10"/>
      <c r="AB12" s="10"/>
      <c r="AC12" s="11"/>
      <c r="AD12" s="57"/>
      <c r="AE12" s="5"/>
      <c r="AF12" s="9"/>
      <c r="AG12" s="9"/>
      <c r="AH12" s="9"/>
      <c r="AI12" s="9"/>
      <c r="AJ12" s="9"/>
      <c r="AK12" s="9"/>
      <c r="AL12" s="9"/>
      <c r="AM12" s="10"/>
      <c r="AN12" s="10"/>
      <c r="AO12" s="10"/>
      <c r="AP12" s="10"/>
      <c r="AQ12" s="11"/>
      <c r="AR12" s="57"/>
      <c r="AS12" s="5"/>
      <c r="AT12" s="9"/>
      <c r="AU12" s="9"/>
      <c r="AV12" s="9"/>
      <c r="AW12" s="9"/>
      <c r="AX12" s="9"/>
      <c r="AY12" s="9"/>
      <c r="AZ12" s="10"/>
      <c r="BA12" s="10"/>
      <c r="BB12" s="10"/>
      <c r="BC12" s="10"/>
      <c r="BD12" s="10"/>
      <c r="BE12" s="11"/>
      <c r="BF12" s="57"/>
      <c r="BG12" s="5"/>
      <c r="BH12" s="9"/>
      <c r="BI12" s="9"/>
      <c r="BJ12" s="9"/>
      <c r="BK12" s="9"/>
      <c r="BL12" s="9"/>
      <c r="BM12" s="9"/>
      <c r="BN12" s="9"/>
      <c r="BO12" s="10"/>
      <c r="BP12" s="10"/>
      <c r="BQ12" s="10"/>
      <c r="BR12" s="10"/>
      <c r="BS12" s="11"/>
      <c r="BT12" s="57"/>
      <c r="BU12" s="5"/>
      <c r="BV12" s="9"/>
      <c r="BW12" s="9"/>
      <c r="BX12" s="9"/>
      <c r="BY12" s="9"/>
      <c r="BZ12" s="9"/>
      <c r="CA12" s="9"/>
      <c r="CB12" s="10"/>
      <c r="CC12" s="10"/>
      <c r="CD12" s="10"/>
      <c r="CE12" s="10"/>
      <c r="CF12" s="10"/>
      <c r="CG12" s="11"/>
      <c r="CH12" s="61"/>
      <c r="CI12" s="182">
        <v>700</v>
      </c>
      <c r="CJ12" s="52"/>
      <c r="CK12" s="270" t="s">
        <v>194</v>
      </c>
      <c r="CL12" s="271"/>
      <c r="CM12" s="271"/>
      <c r="CN12" s="271"/>
      <c r="CO12" s="272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 s="4" customFormat="1" ht="11.45" customHeight="1" x14ac:dyDescent="0.2">
      <c r="A13" s="182"/>
      <c r="B13" s="44"/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4"/>
      <c r="O13" s="15"/>
      <c r="P13" s="57"/>
      <c r="Q13" s="12"/>
      <c r="R13" s="17"/>
      <c r="S13" s="17"/>
      <c r="T13" s="17"/>
      <c r="U13" s="17"/>
      <c r="V13" s="17"/>
      <c r="W13" s="17"/>
      <c r="X13" s="18"/>
      <c r="Y13" s="18"/>
      <c r="Z13" s="18"/>
      <c r="AA13" s="18"/>
      <c r="AB13" s="14"/>
      <c r="AC13" s="15"/>
      <c r="AD13" s="57"/>
      <c r="AE13" s="12"/>
      <c r="AF13" s="17"/>
      <c r="AG13" s="17"/>
      <c r="AH13" s="17"/>
      <c r="AI13" s="17"/>
      <c r="AJ13" s="17"/>
      <c r="AK13" s="17"/>
      <c r="AL13" s="17"/>
      <c r="AM13" s="18"/>
      <c r="AN13" s="18"/>
      <c r="AO13" s="18"/>
      <c r="AP13" s="18"/>
      <c r="AQ13" s="15"/>
      <c r="AR13" s="57"/>
      <c r="AS13" s="16"/>
      <c r="AT13" s="17"/>
      <c r="AU13" s="17"/>
      <c r="AV13" s="17"/>
      <c r="AW13" s="17"/>
      <c r="AX13" s="17"/>
      <c r="AY13" s="17"/>
      <c r="AZ13" s="18"/>
      <c r="BA13" s="18"/>
      <c r="BB13" s="18"/>
      <c r="BC13" s="18"/>
      <c r="BD13" s="18"/>
      <c r="BE13" s="15"/>
      <c r="BF13" s="57"/>
      <c r="BG13" s="16"/>
      <c r="BH13" s="17"/>
      <c r="BI13" s="17"/>
      <c r="BJ13" s="17"/>
      <c r="BK13" s="17"/>
      <c r="BL13" s="17"/>
      <c r="BM13" s="17"/>
      <c r="BN13" s="17"/>
      <c r="BO13" s="18"/>
      <c r="BP13" s="18"/>
      <c r="BQ13" s="18"/>
      <c r="BR13" s="18"/>
      <c r="BS13" s="15"/>
      <c r="BT13" s="57"/>
      <c r="BU13" s="16"/>
      <c r="BV13" s="17"/>
      <c r="BW13" s="17"/>
      <c r="BX13" s="17"/>
      <c r="BY13" s="17"/>
      <c r="BZ13" s="17"/>
      <c r="CA13" s="17"/>
      <c r="CB13" s="18"/>
      <c r="CC13" s="18"/>
      <c r="CD13" s="18"/>
      <c r="CE13" s="18"/>
      <c r="CF13" s="18"/>
      <c r="CG13" s="15"/>
      <c r="CH13" s="61"/>
      <c r="CI13" s="182"/>
      <c r="CJ13" s="52"/>
      <c r="CK13" s="273"/>
      <c r="CL13" s="274"/>
      <c r="CM13" s="274"/>
      <c r="CN13" s="274"/>
      <c r="CO13" s="275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 s="4" customFormat="1" ht="11.45" customHeight="1" x14ac:dyDescent="0.2">
      <c r="A14" s="182"/>
      <c r="B14" s="44"/>
      <c r="C14" s="19"/>
      <c r="D14" s="20"/>
      <c r="E14" s="20"/>
      <c r="F14" s="21"/>
      <c r="G14" s="21"/>
      <c r="H14" s="21"/>
      <c r="I14" s="21"/>
      <c r="J14" s="21"/>
      <c r="K14" s="21"/>
      <c r="L14" s="21"/>
      <c r="M14" s="21"/>
      <c r="N14" s="10"/>
      <c r="O14" s="11"/>
      <c r="P14" s="57"/>
      <c r="Q14" s="5"/>
      <c r="R14" s="20"/>
      <c r="S14" s="9"/>
      <c r="T14" s="9"/>
      <c r="U14" s="9"/>
      <c r="V14" s="9"/>
      <c r="W14" s="9"/>
      <c r="X14" s="10"/>
      <c r="Y14" s="10"/>
      <c r="Z14" s="10"/>
      <c r="AA14" s="10"/>
      <c r="AB14" s="10"/>
      <c r="AC14" s="11"/>
      <c r="AD14" s="57"/>
      <c r="AE14" s="5"/>
      <c r="AF14" s="20"/>
      <c r="AG14" s="20"/>
      <c r="AH14" s="20"/>
      <c r="AI14" s="20"/>
      <c r="AJ14" s="20"/>
      <c r="AK14" s="20"/>
      <c r="AL14" s="20"/>
      <c r="AM14" s="21"/>
      <c r="AN14" s="21"/>
      <c r="AO14" s="21"/>
      <c r="AP14" s="21"/>
      <c r="AQ14" s="11"/>
      <c r="AR14" s="57"/>
      <c r="AS14" s="19"/>
      <c r="AT14" s="20"/>
      <c r="AU14" s="20"/>
      <c r="AV14" s="20"/>
      <c r="AW14" s="20"/>
      <c r="AX14" s="20"/>
      <c r="AY14" s="20"/>
      <c r="AZ14" s="21"/>
      <c r="BA14" s="21"/>
      <c r="BB14" s="21"/>
      <c r="BC14" s="21"/>
      <c r="BD14" s="21"/>
      <c r="BE14" s="11"/>
      <c r="BF14" s="57"/>
      <c r="BG14" s="19"/>
      <c r="BH14" s="20"/>
      <c r="BI14" s="20"/>
      <c r="BJ14" s="20"/>
      <c r="BK14" s="20"/>
      <c r="BL14" s="20"/>
      <c r="BM14" s="20"/>
      <c r="BN14" s="20"/>
      <c r="BO14" s="21"/>
      <c r="BP14" s="21"/>
      <c r="BQ14" s="21"/>
      <c r="BR14" s="21"/>
      <c r="BS14" s="11"/>
      <c r="BT14" s="57"/>
      <c r="BU14" s="19"/>
      <c r="BV14" s="20"/>
      <c r="BW14" s="20"/>
      <c r="BX14" s="20"/>
      <c r="BY14" s="20"/>
      <c r="BZ14" s="20"/>
      <c r="CA14" s="20"/>
      <c r="CB14" s="21"/>
      <c r="CC14" s="21"/>
      <c r="CD14" s="21"/>
      <c r="CE14" s="21"/>
      <c r="CF14" s="21"/>
      <c r="CG14" s="11"/>
      <c r="CH14" s="61"/>
      <c r="CI14" s="182"/>
      <c r="CJ14" s="52"/>
      <c r="CK14" s="273"/>
      <c r="CL14" s="274"/>
      <c r="CM14" s="274"/>
      <c r="CN14" s="274"/>
      <c r="CO14" s="275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 s="4" customFormat="1" ht="11.45" customHeight="1" x14ac:dyDescent="0.2">
      <c r="A15" s="182"/>
      <c r="B15" s="44"/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4"/>
      <c r="O15" s="15"/>
      <c r="P15" s="57"/>
      <c r="Q15" s="12"/>
      <c r="R15" s="17"/>
      <c r="S15" s="13"/>
      <c r="T15" s="13"/>
      <c r="U15" s="13"/>
      <c r="V15" s="13"/>
      <c r="W15" s="13"/>
      <c r="X15" s="14"/>
      <c r="Y15" s="14"/>
      <c r="Z15" s="14"/>
      <c r="AA15" s="18"/>
      <c r="AB15" s="14"/>
      <c r="AC15" s="15"/>
      <c r="AD15" s="57"/>
      <c r="AE15" s="12"/>
      <c r="AF15" s="17"/>
      <c r="AG15" s="17"/>
      <c r="AH15" s="17"/>
      <c r="AI15" s="17"/>
      <c r="AJ15" s="17"/>
      <c r="AK15" s="17"/>
      <c r="AL15" s="17"/>
      <c r="AM15" s="18"/>
      <c r="AN15" s="18"/>
      <c r="AO15" s="18"/>
      <c r="AP15" s="18"/>
      <c r="AQ15" s="15"/>
      <c r="AR15" s="57"/>
      <c r="AS15" s="16"/>
      <c r="AT15" s="17"/>
      <c r="AU15" s="17"/>
      <c r="AV15" s="17"/>
      <c r="AW15" s="17"/>
      <c r="AX15" s="17"/>
      <c r="AY15" s="17"/>
      <c r="AZ15" s="18"/>
      <c r="BA15" s="18"/>
      <c r="BB15" s="18"/>
      <c r="BC15" s="18"/>
      <c r="BD15" s="18"/>
      <c r="BE15" s="15"/>
      <c r="BF15" s="57"/>
      <c r="BG15" s="16"/>
      <c r="BH15" s="17"/>
      <c r="BI15" s="17"/>
      <c r="BJ15" s="17"/>
      <c r="BK15" s="17"/>
      <c r="BL15" s="17"/>
      <c r="BM15" s="17"/>
      <c r="BN15" s="17"/>
      <c r="BO15" s="18"/>
      <c r="BP15" s="18"/>
      <c r="BQ15" s="18"/>
      <c r="BR15" s="18"/>
      <c r="BS15" s="15"/>
      <c r="BT15" s="57"/>
      <c r="BU15" s="16"/>
      <c r="BV15" s="17"/>
      <c r="BW15" s="17"/>
      <c r="BX15" s="17"/>
      <c r="BY15" s="17"/>
      <c r="BZ15" s="17"/>
      <c r="CA15" s="17"/>
      <c r="CB15" s="18"/>
      <c r="CC15" s="18"/>
      <c r="CD15" s="18"/>
      <c r="CE15" s="18"/>
      <c r="CF15" s="18"/>
      <c r="CG15" s="15"/>
      <c r="CH15" s="61"/>
      <c r="CI15" s="182"/>
      <c r="CJ15" s="52"/>
      <c r="CK15" s="276"/>
      <c r="CL15" s="277"/>
      <c r="CM15" s="277"/>
      <c r="CN15" s="277"/>
      <c r="CO15" s="278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 s="4" customFormat="1" ht="11.45" customHeight="1" x14ac:dyDescent="0.2">
      <c r="A16" s="182">
        <v>800</v>
      </c>
      <c r="B16" s="44"/>
      <c r="C16" s="5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57"/>
      <c r="Q16" s="5"/>
      <c r="R16" s="6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  <c r="AD16" s="57"/>
      <c r="AE16" s="5"/>
      <c r="AF16" s="9"/>
      <c r="AG16" s="9"/>
      <c r="AH16" s="9"/>
      <c r="AI16" s="9"/>
      <c r="AJ16" s="9"/>
      <c r="AK16" s="9"/>
      <c r="AL16" s="9"/>
      <c r="AM16" s="10"/>
      <c r="AN16" s="10"/>
      <c r="AO16" s="10"/>
      <c r="AP16" s="10"/>
      <c r="AQ16" s="11"/>
      <c r="AR16" s="57"/>
      <c r="AS16" s="5"/>
      <c r="AT16" s="9"/>
      <c r="AU16" s="9"/>
      <c r="AV16" s="9"/>
      <c r="AW16" s="9"/>
      <c r="AX16" s="9"/>
      <c r="AY16" s="9"/>
      <c r="AZ16" s="10"/>
      <c r="BA16" s="10"/>
      <c r="BB16" s="10"/>
      <c r="BC16" s="10"/>
      <c r="BD16" s="10"/>
      <c r="BE16" s="11"/>
      <c r="BF16" s="57"/>
      <c r="BG16" s="5"/>
      <c r="BH16" s="9"/>
      <c r="BI16" s="9"/>
      <c r="BJ16" s="9"/>
      <c r="BK16" s="9"/>
      <c r="BL16" s="9"/>
      <c r="BM16" s="9"/>
      <c r="BN16" s="9"/>
      <c r="BO16" s="10"/>
      <c r="BP16" s="10"/>
      <c r="BQ16" s="10"/>
      <c r="BR16" s="10"/>
      <c r="BS16" s="11"/>
      <c r="BT16" s="57"/>
      <c r="BU16" s="5"/>
      <c r="BV16" s="9"/>
      <c r="BW16" s="9"/>
      <c r="BX16" s="9"/>
      <c r="BY16" s="9"/>
      <c r="BZ16" s="9"/>
      <c r="CA16" s="9"/>
      <c r="CB16" s="10"/>
      <c r="CC16" s="10"/>
      <c r="CD16" s="10"/>
      <c r="CE16" s="10"/>
      <c r="CF16" s="10"/>
      <c r="CG16" s="11"/>
      <c r="CH16" s="61"/>
      <c r="CI16" s="182">
        <v>800</v>
      </c>
      <c r="CJ16" s="52"/>
      <c r="CK16" s="187" t="s">
        <v>44</v>
      </c>
      <c r="CL16" s="188"/>
      <c r="CM16" s="188"/>
      <c r="CN16" s="188"/>
      <c r="CO16" s="189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1:143" s="4" customFormat="1" ht="11.45" customHeight="1" x14ac:dyDescent="0.2">
      <c r="A17" s="182"/>
      <c r="B17" s="44"/>
      <c r="C17" s="12"/>
      <c r="D17" s="13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57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4"/>
      <c r="AC17" s="15"/>
      <c r="AD17" s="57"/>
      <c r="AE17" s="12"/>
      <c r="AF17" s="13"/>
      <c r="AG17" s="13"/>
      <c r="AH17" s="13"/>
      <c r="AI17" s="13"/>
      <c r="AJ17" s="13"/>
      <c r="AK17" s="13"/>
      <c r="AL17" s="13"/>
      <c r="AM17" s="14"/>
      <c r="AN17" s="14"/>
      <c r="AO17" s="14"/>
      <c r="AP17" s="14"/>
      <c r="AQ17" s="15"/>
      <c r="AR17" s="57"/>
      <c r="AS17" s="12"/>
      <c r="AT17" s="13"/>
      <c r="AU17" s="13"/>
      <c r="AV17" s="13"/>
      <c r="AW17" s="13"/>
      <c r="AX17" s="13"/>
      <c r="AY17" s="13"/>
      <c r="AZ17" s="14"/>
      <c r="BA17" s="14"/>
      <c r="BB17" s="14"/>
      <c r="BC17" s="14"/>
      <c r="BD17" s="14"/>
      <c r="BE17" s="15"/>
      <c r="BF17" s="57"/>
      <c r="BG17" s="12"/>
      <c r="BH17" s="13"/>
      <c r="BI17" s="13"/>
      <c r="BJ17" s="13"/>
      <c r="BK17" s="13"/>
      <c r="BL17" s="13"/>
      <c r="BM17" s="13"/>
      <c r="BN17" s="13"/>
      <c r="BO17" s="14"/>
      <c r="BP17" s="14"/>
      <c r="BQ17" s="14"/>
      <c r="BR17" s="14"/>
      <c r="BS17" s="15"/>
      <c r="BT17" s="57"/>
      <c r="BU17" s="12"/>
      <c r="BV17" s="13"/>
      <c r="BW17" s="13"/>
      <c r="BX17" s="13"/>
      <c r="BY17" s="13"/>
      <c r="BZ17" s="13"/>
      <c r="CA17" s="13"/>
      <c r="CB17" s="14"/>
      <c r="CC17" s="14"/>
      <c r="CD17" s="14"/>
      <c r="CE17" s="14"/>
      <c r="CF17" s="14"/>
      <c r="CG17" s="15"/>
      <c r="CH17" s="61"/>
      <c r="CI17" s="182"/>
      <c r="CJ17" s="52"/>
      <c r="CK17" s="190"/>
      <c r="CL17" s="191"/>
      <c r="CM17" s="191"/>
      <c r="CN17" s="191"/>
      <c r="CO17" s="192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1:143" s="4" customFormat="1" ht="11.45" customHeight="1" x14ac:dyDescent="0.2">
      <c r="A18" s="182"/>
      <c r="B18" s="44"/>
      <c r="C18" s="5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57"/>
      <c r="Q18" s="5"/>
      <c r="R18" s="6"/>
      <c r="S18" s="9"/>
      <c r="T18" s="9"/>
      <c r="U18" s="9"/>
      <c r="V18" s="9"/>
      <c r="W18" s="9"/>
      <c r="X18" s="10"/>
      <c r="Y18" s="10"/>
      <c r="Z18" s="10"/>
      <c r="AA18" s="9"/>
      <c r="AB18" s="10"/>
      <c r="AC18" s="11"/>
      <c r="AD18" s="57"/>
      <c r="AE18" s="5"/>
      <c r="AF18" s="9"/>
      <c r="AG18" s="9"/>
      <c r="AH18" s="9"/>
      <c r="AI18" s="9"/>
      <c r="AJ18" s="9"/>
      <c r="AK18" s="9"/>
      <c r="AL18" s="9"/>
      <c r="AM18" s="10"/>
      <c r="AN18" s="10"/>
      <c r="AO18" s="10"/>
      <c r="AP18" s="10"/>
      <c r="AQ18" s="11"/>
      <c r="AR18" s="57"/>
      <c r="AS18" s="5"/>
      <c r="AT18" s="9"/>
      <c r="AU18" s="9"/>
      <c r="AV18" s="9"/>
      <c r="AW18" s="9"/>
      <c r="AX18" s="9"/>
      <c r="AY18" s="9"/>
      <c r="AZ18" s="10"/>
      <c r="BA18" s="10"/>
      <c r="BB18" s="10"/>
      <c r="BC18" s="10"/>
      <c r="BD18" s="10"/>
      <c r="BE18" s="11"/>
      <c r="BF18" s="57"/>
      <c r="BG18" s="5"/>
      <c r="BH18" s="9"/>
      <c r="BI18" s="9"/>
      <c r="BJ18" s="9"/>
      <c r="BK18" s="9"/>
      <c r="BL18" s="9"/>
      <c r="BM18" s="9"/>
      <c r="BN18" s="9"/>
      <c r="BO18" s="10"/>
      <c r="BP18" s="10"/>
      <c r="BQ18" s="10"/>
      <c r="BR18" s="10"/>
      <c r="BS18" s="11"/>
      <c r="BT18" s="57"/>
      <c r="BU18" s="5"/>
      <c r="BV18" s="9"/>
      <c r="BW18" s="9"/>
      <c r="BX18" s="9"/>
      <c r="BY18" s="9"/>
      <c r="BZ18" s="9"/>
      <c r="CA18" s="9"/>
      <c r="CB18" s="10"/>
      <c r="CC18" s="10"/>
      <c r="CD18" s="10"/>
      <c r="CE18" s="10"/>
      <c r="CF18" s="10"/>
      <c r="CG18" s="11"/>
      <c r="CH18" s="61"/>
      <c r="CI18" s="182"/>
      <c r="CJ18" s="52"/>
      <c r="CK18" s="220" t="s">
        <v>45</v>
      </c>
      <c r="CL18" s="222" t="s">
        <v>0</v>
      </c>
      <c r="CM18" s="224" t="s">
        <v>46</v>
      </c>
      <c r="CN18" s="224" t="s">
        <v>47</v>
      </c>
      <c r="CO18" s="226" t="s">
        <v>49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1:143" s="4" customFormat="1" ht="11.45" customHeight="1" x14ac:dyDescent="0.2">
      <c r="A19" s="182"/>
      <c r="B19" s="44"/>
      <c r="C19" s="12"/>
      <c r="D19" s="13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57"/>
      <c r="Q19" s="12"/>
      <c r="R19" s="13"/>
      <c r="S19" s="13"/>
      <c r="T19" s="13"/>
      <c r="U19" s="13"/>
      <c r="V19" s="13"/>
      <c r="W19" s="13"/>
      <c r="X19" s="14"/>
      <c r="Y19" s="14"/>
      <c r="Z19" s="14"/>
      <c r="AA19" s="14"/>
      <c r="AB19" s="14"/>
      <c r="AC19" s="15"/>
      <c r="AD19" s="57"/>
      <c r="AE19" s="12"/>
      <c r="AF19" s="13"/>
      <c r="AG19" s="13"/>
      <c r="AH19" s="13"/>
      <c r="AI19" s="13"/>
      <c r="AJ19" s="13"/>
      <c r="AK19" s="13"/>
      <c r="AL19" s="13"/>
      <c r="AM19" s="14"/>
      <c r="AN19" s="14"/>
      <c r="AO19" s="14"/>
      <c r="AP19" s="14"/>
      <c r="AQ19" s="15"/>
      <c r="AR19" s="57"/>
      <c r="AS19" s="12"/>
      <c r="AT19" s="13"/>
      <c r="AU19" s="13"/>
      <c r="AV19" s="13"/>
      <c r="AW19" s="13"/>
      <c r="AX19" s="13"/>
      <c r="AY19" s="13"/>
      <c r="AZ19" s="14"/>
      <c r="BA19" s="14"/>
      <c r="BB19" s="14"/>
      <c r="BC19" s="14"/>
      <c r="BD19" s="14"/>
      <c r="BE19" s="15"/>
      <c r="BF19" s="57"/>
      <c r="BG19" s="12"/>
      <c r="BH19" s="13"/>
      <c r="BI19" s="13"/>
      <c r="BJ19" s="13"/>
      <c r="BK19" s="13"/>
      <c r="BL19" s="13"/>
      <c r="BM19" s="13"/>
      <c r="BN19" s="13"/>
      <c r="BO19" s="14"/>
      <c r="BP19" s="14"/>
      <c r="BQ19" s="14"/>
      <c r="BR19" s="14"/>
      <c r="BS19" s="15"/>
      <c r="BT19" s="57"/>
      <c r="BU19" s="12"/>
      <c r="BV19" s="13"/>
      <c r="BW19" s="13"/>
      <c r="BX19" s="13"/>
      <c r="BY19" s="13"/>
      <c r="BZ19" s="13"/>
      <c r="CA19" s="13"/>
      <c r="CB19" s="14"/>
      <c r="CC19" s="14"/>
      <c r="CD19" s="14"/>
      <c r="CE19" s="14"/>
      <c r="CF19" s="14"/>
      <c r="CG19" s="15"/>
      <c r="CH19" s="61"/>
      <c r="CI19" s="182"/>
      <c r="CJ19" s="52"/>
      <c r="CK19" s="221"/>
      <c r="CL19" s="223"/>
      <c r="CM19" s="225"/>
      <c r="CN19" s="225"/>
      <c r="CO19" s="227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1:143" s="4" customFormat="1" ht="11.45" customHeight="1" x14ac:dyDescent="0.2">
      <c r="A20" s="182">
        <v>900</v>
      </c>
      <c r="B20" s="44"/>
      <c r="C20" s="5"/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57"/>
      <c r="Q20" s="5"/>
      <c r="R20" s="9"/>
      <c r="S20" s="9"/>
      <c r="T20" s="9"/>
      <c r="U20" s="9"/>
      <c r="V20" s="9"/>
      <c r="W20" s="9"/>
      <c r="X20" s="9"/>
      <c r="Y20" s="9"/>
      <c r="Z20" s="9"/>
      <c r="AA20" s="10"/>
      <c r="AB20" s="10"/>
      <c r="AC20" s="11"/>
      <c r="AD20" s="57"/>
      <c r="AE20" s="5"/>
      <c r="AF20" s="9"/>
      <c r="AG20" s="9"/>
      <c r="AH20" s="9"/>
      <c r="AI20" s="9"/>
      <c r="AJ20" s="9"/>
      <c r="AK20" s="9"/>
      <c r="AL20" s="9"/>
      <c r="AM20" s="10"/>
      <c r="AN20" s="10"/>
      <c r="AO20" s="10"/>
      <c r="AP20" s="10"/>
      <c r="AQ20" s="11"/>
      <c r="AR20" s="57"/>
      <c r="AS20" s="5"/>
      <c r="AT20" s="9"/>
      <c r="AU20" s="9"/>
      <c r="AV20" s="9"/>
      <c r="AW20" s="9"/>
      <c r="AX20" s="9"/>
      <c r="AY20" s="9"/>
      <c r="AZ20" s="10"/>
      <c r="BA20" s="10"/>
      <c r="BB20" s="10"/>
      <c r="BC20" s="10"/>
      <c r="BD20" s="10"/>
      <c r="BE20" s="11"/>
      <c r="BF20" s="57"/>
      <c r="BG20" s="5"/>
      <c r="BH20" s="9"/>
      <c r="BI20" s="9"/>
      <c r="BJ20" s="9"/>
      <c r="BK20" s="9"/>
      <c r="BL20" s="9"/>
      <c r="BM20" s="9"/>
      <c r="BN20" s="9"/>
      <c r="BO20" s="10"/>
      <c r="BP20" s="10"/>
      <c r="BQ20" s="10"/>
      <c r="BR20" s="10"/>
      <c r="BS20" s="11"/>
      <c r="BT20" s="57"/>
      <c r="BU20" s="5"/>
      <c r="BV20" s="9"/>
      <c r="BW20" s="9"/>
      <c r="BX20" s="9"/>
      <c r="BY20" s="9"/>
      <c r="BZ20" s="9"/>
      <c r="CA20" s="9"/>
      <c r="CB20" s="10"/>
      <c r="CC20" s="10"/>
      <c r="CD20" s="10"/>
      <c r="CE20" s="10"/>
      <c r="CF20" s="10"/>
      <c r="CG20" s="11"/>
      <c r="CH20" s="61"/>
      <c r="CI20" s="182">
        <v>900</v>
      </c>
      <c r="CJ20" s="52"/>
      <c r="CK20" s="211">
        <v>40</v>
      </c>
      <c r="CL20" s="213" t="s">
        <v>185</v>
      </c>
      <c r="CM20" s="215" t="s">
        <v>188</v>
      </c>
      <c r="CN20" s="185" t="s">
        <v>186</v>
      </c>
      <c r="CO20" s="185" t="s">
        <v>138</v>
      </c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1:143" s="4" customFormat="1" ht="11.45" customHeight="1" x14ac:dyDescent="0.2">
      <c r="A21" s="182"/>
      <c r="B21" s="44"/>
      <c r="C21" s="12"/>
      <c r="D21" s="13"/>
      <c r="E21" s="13"/>
      <c r="F21" s="14"/>
      <c r="G21" s="14"/>
      <c r="H21" s="14"/>
      <c r="I21" s="14"/>
      <c r="J21" s="14"/>
      <c r="K21" s="14"/>
      <c r="L21" s="14"/>
      <c r="M21" s="14"/>
      <c r="N21" s="14" t="s">
        <v>9</v>
      </c>
      <c r="O21" s="15"/>
      <c r="P21" s="57"/>
      <c r="Q21" s="12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  <c r="AC21" s="15"/>
      <c r="AD21" s="57"/>
      <c r="AE21" s="12"/>
      <c r="AF21" s="13"/>
      <c r="AG21" s="13"/>
      <c r="AH21" s="13"/>
      <c r="AI21" s="13"/>
      <c r="AJ21" s="13"/>
      <c r="AK21" s="13"/>
      <c r="AL21" s="13"/>
      <c r="AM21" s="14"/>
      <c r="AN21" s="14"/>
      <c r="AO21" s="14"/>
      <c r="AP21" s="14"/>
      <c r="AQ21" s="15"/>
      <c r="AR21" s="57"/>
      <c r="AS21" s="12"/>
      <c r="AT21" s="13"/>
      <c r="AU21" s="13"/>
      <c r="AV21" s="13"/>
      <c r="AW21" s="13"/>
      <c r="AX21" s="13"/>
      <c r="AY21" s="13"/>
      <c r="AZ21" s="14"/>
      <c r="BA21" s="14"/>
      <c r="BB21" s="14"/>
      <c r="BC21" s="14"/>
      <c r="BD21" s="14"/>
      <c r="BE21" s="15"/>
      <c r="BF21" s="57"/>
      <c r="BG21" s="12"/>
      <c r="BH21" s="13"/>
      <c r="BI21" s="13"/>
      <c r="BJ21" s="13"/>
      <c r="BK21" s="13"/>
      <c r="BL21" s="13"/>
      <c r="BM21" s="13"/>
      <c r="BN21" s="13"/>
      <c r="BO21" s="14"/>
      <c r="BP21" s="14"/>
      <c r="BQ21" s="14"/>
      <c r="BR21" s="14"/>
      <c r="BS21" s="15"/>
      <c r="BT21" s="57"/>
      <c r="BU21" s="12"/>
      <c r="BV21" s="13"/>
      <c r="BW21" s="13"/>
      <c r="BX21" s="13"/>
      <c r="BY21" s="13"/>
      <c r="BZ21" s="13"/>
      <c r="CA21" s="13"/>
      <c r="CB21" s="14"/>
      <c r="CC21" s="14"/>
      <c r="CD21" s="14"/>
      <c r="CE21" s="14"/>
      <c r="CF21" s="14"/>
      <c r="CG21" s="15"/>
      <c r="CH21" s="61"/>
      <c r="CI21" s="182"/>
      <c r="CJ21" s="52"/>
      <c r="CK21" s="212"/>
      <c r="CL21" s="214"/>
      <c r="CM21" s="216"/>
      <c r="CN21" s="186"/>
      <c r="CO21" s="186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1:143" s="4" customFormat="1" ht="11.45" customHeight="1" x14ac:dyDescent="0.2">
      <c r="A22" s="182"/>
      <c r="B22" s="44"/>
      <c r="C22" s="5"/>
      <c r="D22" s="9"/>
      <c r="E22" s="9"/>
      <c r="F22" s="10"/>
      <c r="G22" s="10"/>
      <c r="H22" s="10"/>
      <c r="I22" s="10"/>
      <c r="J22" s="10"/>
      <c r="K22" s="10"/>
      <c r="L22" s="10"/>
      <c r="M22" s="22"/>
      <c r="N22" s="10"/>
      <c r="O22" s="11"/>
      <c r="P22" s="57"/>
      <c r="Q22" s="5"/>
      <c r="R22" s="9"/>
      <c r="S22" s="9"/>
      <c r="T22" s="9"/>
      <c r="U22" s="9"/>
      <c r="V22" s="9"/>
      <c r="W22" s="9"/>
      <c r="X22" s="10"/>
      <c r="Y22" s="10"/>
      <c r="Z22" s="10"/>
      <c r="AA22" s="10"/>
      <c r="AB22" s="10"/>
      <c r="AC22" s="11"/>
      <c r="AD22" s="57"/>
      <c r="AE22" s="5"/>
      <c r="AF22" s="9"/>
      <c r="AG22" s="9"/>
      <c r="AH22" s="9"/>
      <c r="AI22" s="9"/>
      <c r="AJ22" s="9"/>
      <c r="AK22" s="9"/>
      <c r="AL22" s="9"/>
      <c r="AM22" s="10"/>
      <c r="AN22" s="10"/>
      <c r="AO22" s="10"/>
      <c r="AP22" s="10"/>
      <c r="AQ22" s="11"/>
      <c r="AR22" s="57"/>
      <c r="AS22" s="5"/>
      <c r="AT22" s="9"/>
      <c r="AU22" s="9"/>
      <c r="AV22" s="9"/>
      <c r="AW22" s="9"/>
      <c r="AX22" s="9"/>
      <c r="AY22" s="9"/>
      <c r="AZ22" s="10"/>
      <c r="BA22" s="10"/>
      <c r="BB22" s="10"/>
      <c r="BC22" s="10"/>
      <c r="BD22" s="10"/>
      <c r="BE22" s="11"/>
      <c r="BF22" s="57"/>
      <c r="BG22" s="5"/>
      <c r="BH22" s="9"/>
      <c r="BI22" s="9"/>
      <c r="BJ22" s="9"/>
      <c r="BK22" s="9"/>
      <c r="BL22" s="9"/>
      <c r="BM22" s="9"/>
      <c r="BN22" s="9"/>
      <c r="BO22" s="10"/>
      <c r="BP22" s="10"/>
      <c r="BQ22" s="10"/>
      <c r="BR22" s="10"/>
      <c r="BS22" s="11"/>
      <c r="BT22" s="57"/>
      <c r="BU22" s="5"/>
      <c r="BV22" s="9"/>
      <c r="BW22" s="9"/>
      <c r="BX22" s="9"/>
      <c r="BY22" s="9"/>
      <c r="BZ22" s="9"/>
      <c r="CA22" s="9"/>
      <c r="CB22" s="10"/>
      <c r="CC22" s="10"/>
      <c r="CD22" s="10"/>
      <c r="CE22" s="10"/>
      <c r="CF22" s="10"/>
      <c r="CG22" s="11"/>
      <c r="CH22" s="61"/>
      <c r="CI22" s="182"/>
      <c r="CJ22" s="52"/>
      <c r="CK22" s="211"/>
      <c r="CL22" s="268"/>
      <c r="CM22" s="215"/>
      <c r="CN22" s="185"/>
      <c r="CO22" s="185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1:143" s="4" customFormat="1" ht="11.45" customHeight="1" x14ac:dyDescent="0.2">
      <c r="A23" s="182"/>
      <c r="B23" s="44"/>
      <c r="C23" s="12"/>
      <c r="D23" s="13"/>
      <c r="E23" s="13"/>
      <c r="F23" s="14"/>
      <c r="G23" s="14"/>
      <c r="H23" s="14"/>
      <c r="I23" s="14"/>
      <c r="J23" s="14"/>
      <c r="K23" s="14"/>
      <c r="L23" s="14"/>
      <c r="M23" s="23"/>
      <c r="N23" s="14"/>
      <c r="O23" s="15"/>
      <c r="P23" s="57"/>
      <c r="Q23" s="12"/>
      <c r="R23" s="13"/>
      <c r="S23" s="13"/>
      <c r="T23" s="13"/>
      <c r="U23" s="13"/>
      <c r="V23" s="13"/>
      <c r="W23" s="13"/>
      <c r="X23" s="14"/>
      <c r="Y23" s="14"/>
      <c r="Z23" s="14"/>
      <c r="AA23" s="14"/>
      <c r="AB23" s="14"/>
      <c r="AC23" s="15"/>
      <c r="AD23" s="57"/>
      <c r="AE23" s="12"/>
      <c r="AF23" s="13"/>
      <c r="AG23" s="13"/>
      <c r="AH23" s="13"/>
      <c r="AI23" s="13"/>
      <c r="AJ23" s="13"/>
      <c r="AK23" s="13"/>
      <c r="AL23" s="13"/>
      <c r="AM23" s="14"/>
      <c r="AN23" s="14"/>
      <c r="AO23" s="14"/>
      <c r="AP23" s="14"/>
      <c r="AQ23" s="15"/>
      <c r="AR23" s="57"/>
      <c r="AS23" s="12"/>
      <c r="AT23" s="13"/>
      <c r="AU23" s="13"/>
      <c r="AV23" s="13"/>
      <c r="AW23" s="13"/>
      <c r="AX23" s="13"/>
      <c r="AY23" s="13"/>
      <c r="AZ23" s="14"/>
      <c r="BA23" s="14"/>
      <c r="BB23" s="14"/>
      <c r="BC23" s="14"/>
      <c r="BD23" s="14"/>
      <c r="BE23" s="15"/>
      <c r="BF23" s="57"/>
      <c r="BG23" s="12"/>
      <c r="BH23" s="13"/>
      <c r="BI23" s="13"/>
      <c r="BJ23" s="13"/>
      <c r="BK23" s="13"/>
      <c r="BL23" s="13"/>
      <c r="BM23" s="13"/>
      <c r="BN23" s="13"/>
      <c r="BO23" s="14"/>
      <c r="BP23" s="14"/>
      <c r="BQ23" s="14"/>
      <c r="BR23" s="14"/>
      <c r="BS23" s="15"/>
      <c r="BT23" s="57"/>
      <c r="BU23" s="12"/>
      <c r="BV23" s="13"/>
      <c r="BW23" s="13"/>
      <c r="BX23" s="13"/>
      <c r="BY23" s="13"/>
      <c r="BZ23" s="13"/>
      <c r="CA23" s="13"/>
      <c r="CB23" s="14"/>
      <c r="CC23" s="14"/>
      <c r="CD23" s="14"/>
      <c r="CE23" s="14"/>
      <c r="CF23" s="14"/>
      <c r="CG23" s="15"/>
      <c r="CH23" s="61"/>
      <c r="CI23" s="182"/>
      <c r="CJ23" s="52"/>
      <c r="CK23" s="212"/>
      <c r="CL23" s="269"/>
      <c r="CM23" s="216"/>
      <c r="CN23" s="186"/>
      <c r="CO23" s="186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1:143" s="4" customFormat="1" ht="11.45" customHeight="1" x14ac:dyDescent="0.2">
      <c r="A24" s="182">
        <v>1000</v>
      </c>
      <c r="B24" s="44"/>
      <c r="C24" s="5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57"/>
      <c r="Q24" s="5"/>
      <c r="R24" s="9"/>
      <c r="S24" s="9"/>
      <c r="T24" s="9"/>
      <c r="U24" s="9"/>
      <c r="V24" s="9"/>
      <c r="W24" s="9"/>
      <c r="X24" s="9"/>
      <c r="Y24" s="9"/>
      <c r="Z24" s="9"/>
      <c r="AA24" s="10"/>
      <c r="AB24" s="10"/>
      <c r="AC24" s="11"/>
      <c r="AD24" s="57"/>
      <c r="AE24" s="5"/>
      <c r="AF24" s="9"/>
      <c r="AG24" s="9"/>
      <c r="AH24" s="9"/>
      <c r="AI24" s="9"/>
      <c r="AJ24" s="9"/>
      <c r="AK24" s="9"/>
      <c r="AL24" s="9"/>
      <c r="AM24" s="10"/>
      <c r="AN24" s="10"/>
      <c r="AO24" s="10"/>
      <c r="AP24" s="10"/>
      <c r="AQ24" s="11"/>
      <c r="AR24" s="57"/>
      <c r="AS24" s="5"/>
      <c r="AT24" s="9"/>
      <c r="AU24" s="9"/>
      <c r="AV24" s="9"/>
      <c r="AW24" s="9"/>
      <c r="AX24" s="9"/>
      <c r="AY24" s="9"/>
      <c r="AZ24" s="10"/>
      <c r="BA24" s="10"/>
      <c r="BB24" s="10"/>
      <c r="BC24" s="10"/>
      <c r="BD24" s="10"/>
      <c r="BE24" s="11"/>
      <c r="BF24" s="57"/>
      <c r="BG24" s="5"/>
      <c r="BH24" s="9"/>
      <c r="BI24" s="9"/>
      <c r="BJ24" s="9"/>
      <c r="BK24" s="9"/>
      <c r="BL24" s="9"/>
      <c r="BM24" s="9"/>
      <c r="BN24" s="9"/>
      <c r="BO24" s="10"/>
      <c r="BP24" s="10"/>
      <c r="BQ24" s="10"/>
      <c r="BR24" s="10"/>
      <c r="BS24" s="11"/>
      <c r="BT24" s="57"/>
      <c r="BU24" s="5"/>
      <c r="BV24" s="9"/>
      <c r="BW24" s="9"/>
      <c r="BX24" s="9"/>
      <c r="BY24" s="9"/>
      <c r="BZ24" s="9"/>
      <c r="CA24" s="9"/>
      <c r="CB24" s="10"/>
      <c r="CC24" s="10"/>
      <c r="CD24" s="10"/>
      <c r="CE24" s="10"/>
      <c r="CF24" s="10"/>
      <c r="CG24" s="11"/>
      <c r="CH24" s="61"/>
      <c r="CI24" s="182">
        <v>1000</v>
      </c>
      <c r="CJ24" s="52"/>
      <c r="CK24" s="264"/>
      <c r="CL24" s="266"/>
      <c r="CM24" s="215"/>
      <c r="CN24" s="215"/>
      <c r="CO24" s="215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1:143" s="4" customFormat="1" ht="11.45" customHeight="1" x14ac:dyDescent="0.2">
      <c r="A25" s="182"/>
      <c r="B25" s="44"/>
      <c r="C25" s="12"/>
      <c r="D25" s="13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57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  <c r="AC25" s="15"/>
      <c r="AD25" s="57"/>
      <c r="AE25" s="12"/>
      <c r="AF25" s="13"/>
      <c r="AG25" s="13"/>
      <c r="AH25" s="13"/>
      <c r="AI25" s="13"/>
      <c r="AJ25" s="13"/>
      <c r="AK25" s="13"/>
      <c r="AL25" s="13"/>
      <c r="AM25" s="14"/>
      <c r="AN25" s="14"/>
      <c r="AO25" s="14"/>
      <c r="AP25" s="14"/>
      <c r="AQ25" s="15"/>
      <c r="AR25" s="57"/>
      <c r="AS25" s="12"/>
      <c r="AT25" s="13"/>
      <c r="AU25" s="13"/>
      <c r="AV25" s="13"/>
      <c r="AW25" s="13"/>
      <c r="AX25" s="13"/>
      <c r="AY25" s="13"/>
      <c r="AZ25" s="14"/>
      <c r="BA25" s="14"/>
      <c r="BB25" s="14"/>
      <c r="BC25" s="14"/>
      <c r="BD25" s="14"/>
      <c r="BE25" s="15"/>
      <c r="BF25" s="57"/>
      <c r="BG25" s="12"/>
      <c r="BH25" s="13"/>
      <c r="BI25" s="13"/>
      <c r="BJ25" s="13"/>
      <c r="BK25" s="13"/>
      <c r="BL25" s="13"/>
      <c r="BM25" s="13"/>
      <c r="BN25" s="13"/>
      <c r="BO25" s="14"/>
      <c r="BP25" s="14"/>
      <c r="BQ25" s="14"/>
      <c r="BR25" s="14"/>
      <c r="BS25" s="15"/>
      <c r="BT25" s="57"/>
      <c r="BU25" s="12"/>
      <c r="BV25" s="13"/>
      <c r="BW25" s="13"/>
      <c r="BX25" s="13"/>
      <c r="BY25" s="13"/>
      <c r="BZ25" s="13"/>
      <c r="CA25" s="13"/>
      <c r="CB25" s="14"/>
      <c r="CC25" s="14"/>
      <c r="CD25" s="14"/>
      <c r="CE25" s="14"/>
      <c r="CF25" s="14"/>
      <c r="CG25" s="15"/>
      <c r="CH25" s="61"/>
      <c r="CI25" s="182"/>
      <c r="CJ25" s="52"/>
      <c r="CK25" s="265"/>
      <c r="CL25" s="267"/>
      <c r="CM25" s="216"/>
      <c r="CN25" s="216"/>
      <c r="CO25" s="216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1:143" s="4" customFormat="1" ht="11.45" customHeight="1" x14ac:dyDescent="0.2">
      <c r="A26" s="182"/>
      <c r="B26" s="44"/>
      <c r="C26" s="5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57"/>
      <c r="Q26" s="5"/>
      <c r="R26" s="9"/>
      <c r="S26" s="9"/>
      <c r="T26" s="9"/>
      <c r="U26" s="9"/>
      <c r="V26" s="9"/>
      <c r="W26" s="9"/>
      <c r="X26" s="9"/>
      <c r="Y26" s="9"/>
      <c r="Z26" s="9"/>
      <c r="AA26" s="10"/>
      <c r="AB26" s="10"/>
      <c r="AC26" s="11"/>
      <c r="AD26" s="57"/>
      <c r="AE26" s="5"/>
      <c r="AF26" s="9"/>
      <c r="AG26" s="9"/>
      <c r="AH26" s="9"/>
      <c r="AI26" s="9"/>
      <c r="AJ26" s="9"/>
      <c r="AK26" s="9"/>
      <c r="AL26" s="9"/>
      <c r="AM26" s="10"/>
      <c r="AN26" s="10"/>
      <c r="AO26" s="10"/>
      <c r="AP26" s="10"/>
      <c r="AQ26" s="11"/>
      <c r="AR26" s="57"/>
      <c r="AS26" s="5"/>
      <c r="AT26" s="9"/>
      <c r="AU26" s="9"/>
      <c r="AV26" s="9"/>
      <c r="AW26" s="9"/>
      <c r="AX26" s="9"/>
      <c r="AY26" s="9"/>
      <c r="AZ26" s="10"/>
      <c r="BA26" s="10"/>
      <c r="BB26" s="10"/>
      <c r="BC26" s="10"/>
      <c r="BD26" s="10"/>
      <c r="BE26" s="11"/>
      <c r="BF26" s="57"/>
      <c r="BG26" s="5"/>
      <c r="BH26" s="9"/>
      <c r="BI26" s="9"/>
      <c r="BJ26" s="9"/>
      <c r="BK26" s="9"/>
      <c r="BL26" s="9"/>
      <c r="BM26" s="9"/>
      <c r="BN26" s="9"/>
      <c r="BO26" s="10"/>
      <c r="BP26" s="10"/>
      <c r="BQ26" s="10"/>
      <c r="BR26" s="10"/>
      <c r="BS26" s="11"/>
      <c r="BT26" s="57"/>
      <c r="BU26" s="5"/>
      <c r="BV26" s="9"/>
      <c r="BW26" s="9"/>
      <c r="BX26" s="9"/>
      <c r="BY26" s="9"/>
      <c r="BZ26" s="9"/>
      <c r="CA26" s="9"/>
      <c r="CB26" s="10"/>
      <c r="CC26" s="10"/>
      <c r="CD26" s="10"/>
      <c r="CE26" s="10"/>
      <c r="CF26" s="10"/>
      <c r="CG26" s="11"/>
      <c r="CH26" s="61"/>
      <c r="CI26" s="182"/>
      <c r="CJ26" s="52"/>
      <c r="CK26" s="211"/>
      <c r="CL26" s="213"/>
      <c r="CM26" s="215"/>
      <c r="CN26" s="185"/>
      <c r="CO26" s="185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1:143" s="4" customFormat="1" ht="11.45" customHeight="1" x14ac:dyDescent="0.2">
      <c r="A27" s="182"/>
      <c r="B27" s="44"/>
      <c r="C27" s="12"/>
      <c r="D27" s="13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57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  <c r="AC27" s="15"/>
      <c r="AD27" s="57"/>
      <c r="AE27" s="12"/>
      <c r="AF27" s="13"/>
      <c r="AG27" s="13"/>
      <c r="AH27" s="13"/>
      <c r="AI27" s="13"/>
      <c r="AJ27" s="13"/>
      <c r="AK27" s="13"/>
      <c r="AL27" s="13"/>
      <c r="AM27" s="14"/>
      <c r="AN27" s="14"/>
      <c r="AO27" s="14"/>
      <c r="AP27" s="14"/>
      <c r="AQ27" s="15"/>
      <c r="AR27" s="57"/>
      <c r="AS27" s="12"/>
      <c r="AT27" s="13"/>
      <c r="AU27" s="13"/>
      <c r="AV27" s="13"/>
      <c r="AW27" s="13"/>
      <c r="AX27" s="13"/>
      <c r="AY27" s="13"/>
      <c r="AZ27" s="14"/>
      <c r="BA27" s="14"/>
      <c r="BB27" s="14"/>
      <c r="BC27" s="14"/>
      <c r="BD27" s="14"/>
      <c r="BE27" s="15"/>
      <c r="BF27" s="57"/>
      <c r="BG27" s="12"/>
      <c r="BH27" s="13"/>
      <c r="BI27" s="13"/>
      <c r="BJ27" s="13"/>
      <c r="BK27" s="13"/>
      <c r="BL27" s="13"/>
      <c r="BM27" s="13"/>
      <c r="BN27" s="13"/>
      <c r="BO27" s="14"/>
      <c r="BP27" s="14"/>
      <c r="BQ27" s="14"/>
      <c r="BR27" s="14"/>
      <c r="BS27" s="15"/>
      <c r="BT27" s="57"/>
      <c r="BU27" s="12"/>
      <c r="BV27" s="13"/>
      <c r="BW27" s="13"/>
      <c r="BX27" s="13"/>
      <c r="BY27" s="13"/>
      <c r="BZ27" s="13"/>
      <c r="CA27" s="13"/>
      <c r="CB27" s="14"/>
      <c r="CC27" s="14"/>
      <c r="CD27" s="14"/>
      <c r="CE27" s="14"/>
      <c r="CF27" s="14"/>
      <c r="CG27" s="15"/>
      <c r="CH27" s="61"/>
      <c r="CI27" s="182"/>
      <c r="CJ27" s="52"/>
      <c r="CK27" s="212"/>
      <c r="CL27" s="214"/>
      <c r="CM27" s="216"/>
      <c r="CN27" s="186"/>
      <c r="CO27" s="186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1:143" s="4" customFormat="1" ht="11.45" customHeight="1" x14ac:dyDescent="0.2">
      <c r="A28" s="182">
        <v>1100</v>
      </c>
      <c r="B28" s="44"/>
      <c r="C28" s="5"/>
      <c r="D28" s="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57"/>
      <c r="Q28" s="5"/>
      <c r="R28" s="9"/>
      <c r="S28" s="9"/>
      <c r="T28" s="9"/>
      <c r="U28" s="9"/>
      <c r="V28" s="9"/>
      <c r="W28" s="9"/>
      <c r="X28" s="9"/>
      <c r="Y28" s="9"/>
      <c r="Z28" s="9"/>
      <c r="AA28" s="10"/>
      <c r="AB28" s="10"/>
      <c r="AC28" s="11"/>
      <c r="AD28" s="57"/>
      <c r="AE28" s="5"/>
      <c r="AF28" s="9"/>
      <c r="AG28" s="9"/>
      <c r="AH28" s="9"/>
      <c r="AI28" s="9"/>
      <c r="AJ28" s="9"/>
      <c r="AK28" s="9"/>
      <c r="AL28" s="9"/>
      <c r="AM28" s="10"/>
      <c r="AN28" s="10"/>
      <c r="AO28" s="10"/>
      <c r="AP28" s="10"/>
      <c r="AQ28" s="11"/>
      <c r="AR28" s="57"/>
      <c r="AS28" s="5"/>
      <c r="AT28" s="9"/>
      <c r="AU28" s="9"/>
      <c r="AV28" s="9"/>
      <c r="AW28" s="9"/>
      <c r="AX28" s="9"/>
      <c r="AY28" s="9"/>
      <c r="AZ28" s="10"/>
      <c r="BA28" s="10"/>
      <c r="BB28" s="10"/>
      <c r="BC28" s="10"/>
      <c r="BD28" s="10"/>
      <c r="BE28" s="11"/>
      <c r="BF28" s="57"/>
      <c r="BG28" s="5"/>
      <c r="BH28" s="9"/>
      <c r="BI28" s="9"/>
      <c r="BJ28" s="9"/>
      <c r="BK28" s="9"/>
      <c r="BL28" s="9"/>
      <c r="BM28" s="9"/>
      <c r="BN28" s="9"/>
      <c r="BO28" s="10"/>
      <c r="BP28" s="10"/>
      <c r="BQ28" s="10"/>
      <c r="BR28" s="10"/>
      <c r="BS28" s="11"/>
      <c r="BT28" s="57"/>
      <c r="BU28" s="5"/>
      <c r="BV28" s="9"/>
      <c r="BW28" s="9"/>
      <c r="BX28" s="9"/>
      <c r="BY28" s="9"/>
      <c r="BZ28" s="9"/>
      <c r="CA28" s="9"/>
      <c r="CB28" s="10"/>
      <c r="CC28" s="10"/>
      <c r="CD28" s="10"/>
      <c r="CE28" s="10"/>
      <c r="CF28" s="10"/>
      <c r="CG28" s="11"/>
      <c r="CH28" s="61"/>
      <c r="CI28" s="182">
        <v>1100</v>
      </c>
      <c r="CJ28" s="52"/>
      <c r="CK28" s="294"/>
      <c r="CL28" s="296"/>
      <c r="CM28" s="296"/>
      <c r="CN28" s="292"/>
      <c r="CO28" s="292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1:143" s="4" customFormat="1" ht="11.45" customHeight="1" x14ac:dyDescent="0.2">
      <c r="A29" s="182"/>
      <c r="B29" s="44"/>
      <c r="C29" s="12"/>
      <c r="D29" s="13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57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  <c r="AC29" s="15"/>
      <c r="AD29" s="57"/>
      <c r="AE29" s="12"/>
      <c r="AF29" s="13"/>
      <c r="AG29" s="13"/>
      <c r="AH29" s="13"/>
      <c r="AI29" s="13"/>
      <c r="AJ29" s="13"/>
      <c r="AK29" s="13"/>
      <c r="AL29" s="13"/>
      <c r="AM29" s="14"/>
      <c r="AN29" s="14"/>
      <c r="AO29" s="14"/>
      <c r="AP29" s="14"/>
      <c r="AQ29" s="15"/>
      <c r="AR29" s="57"/>
      <c r="AS29" s="12"/>
      <c r="AT29" s="13"/>
      <c r="AU29" s="13"/>
      <c r="AV29" s="13"/>
      <c r="AW29" s="13"/>
      <c r="AX29" s="13"/>
      <c r="AY29" s="13"/>
      <c r="AZ29" s="14"/>
      <c r="BA29" s="14"/>
      <c r="BB29" s="14"/>
      <c r="BC29" s="14"/>
      <c r="BD29" s="14"/>
      <c r="BE29" s="15"/>
      <c r="BF29" s="57"/>
      <c r="BG29" s="12"/>
      <c r="BH29" s="13"/>
      <c r="BI29" s="13"/>
      <c r="BJ29" s="13"/>
      <c r="BK29" s="13"/>
      <c r="BL29" s="13"/>
      <c r="BM29" s="13"/>
      <c r="BN29" s="13"/>
      <c r="BO29" s="14"/>
      <c r="BP29" s="14"/>
      <c r="BQ29" s="14"/>
      <c r="BR29" s="14"/>
      <c r="BS29" s="15"/>
      <c r="BT29" s="57"/>
      <c r="BU29" s="12"/>
      <c r="BV29" s="13"/>
      <c r="BW29" s="13"/>
      <c r="BX29" s="13"/>
      <c r="BY29" s="13"/>
      <c r="BZ29" s="13"/>
      <c r="CA29" s="13"/>
      <c r="CB29" s="14"/>
      <c r="CC29" s="14"/>
      <c r="CD29" s="14"/>
      <c r="CE29" s="14"/>
      <c r="CF29" s="14"/>
      <c r="CG29" s="15"/>
      <c r="CH29" s="61"/>
      <c r="CI29" s="182"/>
      <c r="CJ29" s="52"/>
      <c r="CK29" s="295"/>
      <c r="CL29" s="297"/>
      <c r="CM29" s="297"/>
      <c r="CN29" s="293"/>
      <c r="CO29" s="29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1:143" s="4" customFormat="1" ht="11.45" customHeight="1" x14ac:dyDescent="0.2">
      <c r="A30" s="182"/>
      <c r="B30" s="44"/>
      <c r="C30" s="5"/>
      <c r="D30" s="9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57"/>
      <c r="Q30" s="5"/>
      <c r="R30" s="9"/>
      <c r="S30" s="9"/>
      <c r="T30" s="9"/>
      <c r="U30" s="9"/>
      <c r="V30" s="9"/>
      <c r="W30" s="9"/>
      <c r="X30" s="9"/>
      <c r="Y30" s="9"/>
      <c r="Z30" s="9"/>
      <c r="AA30" s="10"/>
      <c r="AB30" s="10"/>
      <c r="AC30" s="11"/>
      <c r="AD30" s="57"/>
      <c r="AE30" s="5"/>
      <c r="AF30" s="9"/>
      <c r="AG30" s="9"/>
      <c r="AH30" s="9"/>
      <c r="AI30" s="9"/>
      <c r="AJ30" s="9"/>
      <c r="AK30" s="9"/>
      <c r="AL30" s="9"/>
      <c r="AM30" s="10"/>
      <c r="AN30" s="10"/>
      <c r="AO30" s="10"/>
      <c r="AP30" s="10"/>
      <c r="AQ30" s="11"/>
      <c r="AR30" s="57"/>
      <c r="AS30" s="5"/>
      <c r="AT30" s="9"/>
      <c r="AU30" s="9"/>
      <c r="AV30" s="9"/>
      <c r="AW30" s="9"/>
      <c r="AX30" s="9"/>
      <c r="AY30" s="9"/>
      <c r="AZ30" s="10"/>
      <c r="BA30" s="10"/>
      <c r="BB30" s="10"/>
      <c r="BC30" s="10"/>
      <c r="BD30" s="10"/>
      <c r="BE30" s="11"/>
      <c r="BF30" s="57"/>
      <c r="BG30" s="5"/>
      <c r="BH30" s="9"/>
      <c r="BI30" s="9"/>
      <c r="BJ30" s="9"/>
      <c r="BK30" s="9"/>
      <c r="BL30" s="9"/>
      <c r="BM30" s="9"/>
      <c r="BN30" s="9"/>
      <c r="BO30" s="10"/>
      <c r="BP30" s="10"/>
      <c r="BQ30" s="10"/>
      <c r="BR30" s="10"/>
      <c r="BS30" s="11"/>
      <c r="BT30" s="57"/>
      <c r="BU30" s="5"/>
      <c r="BV30" s="9"/>
      <c r="BW30" s="9"/>
      <c r="BX30" s="9"/>
      <c r="BY30" s="9"/>
      <c r="BZ30" s="9"/>
      <c r="CA30" s="9"/>
      <c r="CB30" s="10"/>
      <c r="CC30" s="10"/>
      <c r="CD30" s="10"/>
      <c r="CE30" s="10"/>
      <c r="CF30" s="10"/>
      <c r="CG30" s="11"/>
      <c r="CH30" s="61"/>
      <c r="CI30" s="182"/>
      <c r="CJ30" s="52"/>
      <c r="CK30" s="294"/>
      <c r="CL30" s="296"/>
      <c r="CM30" s="296"/>
      <c r="CN30" s="292"/>
      <c r="CO30" s="292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1:143" s="4" customFormat="1" ht="11.45" customHeight="1" x14ac:dyDescent="0.2">
      <c r="A31" s="182"/>
      <c r="B31" s="44"/>
      <c r="C31" s="12"/>
      <c r="D31" s="13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57"/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  <c r="AC31" s="15"/>
      <c r="AD31" s="57"/>
      <c r="AE31" s="12"/>
      <c r="AF31" s="13"/>
      <c r="AG31" s="13"/>
      <c r="AH31" s="13"/>
      <c r="AI31" s="13"/>
      <c r="AJ31" s="13"/>
      <c r="AK31" s="13"/>
      <c r="AL31" s="13"/>
      <c r="AM31" s="14"/>
      <c r="AN31" s="14"/>
      <c r="AO31" s="14"/>
      <c r="AP31" s="14"/>
      <c r="AQ31" s="15"/>
      <c r="AR31" s="57"/>
      <c r="AS31" s="12"/>
      <c r="AT31" s="13"/>
      <c r="AU31" s="13"/>
      <c r="AV31" s="13"/>
      <c r="AW31" s="13"/>
      <c r="AX31" s="13"/>
      <c r="AY31" s="13"/>
      <c r="AZ31" s="14"/>
      <c r="BA31" s="14"/>
      <c r="BB31" s="14"/>
      <c r="BC31" s="14"/>
      <c r="BD31" s="14"/>
      <c r="BE31" s="15"/>
      <c r="BF31" s="57"/>
      <c r="BG31" s="12"/>
      <c r="BH31" s="13"/>
      <c r="BI31" s="13"/>
      <c r="BJ31" s="13"/>
      <c r="BK31" s="13"/>
      <c r="BL31" s="13"/>
      <c r="BM31" s="13"/>
      <c r="BN31" s="13"/>
      <c r="BO31" s="14"/>
      <c r="BP31" s="14"/>
      <c r="BQ31" s="14"/>
      <c r="BR31" s="14"/>
      <c r="BS31" s="15"/>
      <c r="BT31" s="57"/>
      <c r="BU31" s="12"/>
      <c r="BV31" s="13"/>
      <c r="BW31" s="13"/>
      <c r="BX31" s="13"/>
      <c r="BY31" s="13"/>
      <c r="BZ31" s="13"/>
      <c r="CA31" s="13"/>
      <c r="CB31" s="14"/>
      <c r="CC31" s="14"/>
      <c r="CD31" s="14"/>
      <c r="CE31" s="14"/>
      <c r="CF31" s="14"/>
      <c r="CG31" s="15"/>
      <c r="CH31" s="61"/>
      <c r="CI31" s="182"/>
      <c r="CJ31" s="52"/>
      <c r="CK31" s="295"/>
      <c r="CL31" s="297"/>
      <c r="CM31" s="297"/>
      <c r="CN31" s="293"/>
      <c r="CO31" s="29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1:143" s="4" customFormat="1" ht="11.45" customHeight="1" x14ac:dyDescent="0.2">
      <c r="A32" s="182">
        <v>1200</v>
      </c>
      <c r="B32" s="44"/>
      <c r="C32" s="5"/>
      <c r="D32" s="9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1"/>
      <c r="P32" s="57"/>
      <c r="Q32" s="5"/>
      <c r="R32" s="9"/>
      <c r="S32" s="9"/>
      <c r="T32" s="9"/>
      <c r="U32" s="9"/>
      <c r="V32" s="9"/>
      <c r="W32" s="9"/>
      <c r="X32" s="9"/>
      <c r="Y32" s="9"/>
      <c r="Z32" s="9"/>
      <c r="AA32" s="10"/>
      <c r="AB32" s="10"/>
      <c r="AC32" s="11"/>
      <c r="AD32" s="57"/>
      <c r="AE32" s="5"/>
      <c r="AF32" s="9"/>
      <c r="AG32" s="9"/>
      <c r="AH32" s="9"/>
      <c r="AI32" s="9"/>
      <c r="AJ32" s="9"/>
      <c r="AK32" s="9"/>
      <c r="AL32" s="9"/>
      <c r="AM32" s="10"/>
      <c r="AN32" s="10"/>
      <c r="AO32" s="10"/>
      <c r="AP32" s="10"/>
      <c r="AQ32" s="11"/>
      <c r="AR32" s="57"/>
      <c r="AS32" s="5"/>
      <c r="AT32" s="9"/>
      <c r="AU32" s="9"/>
      <c r="AV32" s="9"/>
      <c r="AW32" s="9"/>
      <c r="AX32" s="9"/>
      <c r="AY32" s="9"/>
      <c r="AZ32" s="10"/>
      <c r="BA32" s="10"/>
      <c r="BB32" s="10"/>
      <c r="BC32" s="10"/>
      <c r="BD32" s="10"/>
      <c r="BE32" s="11"/>
      <c r="BF32" s="57"/>
      <c r="BG32" s="5"/>
      <c r="BH32" s="9"/>
      <c r="BI32" s="9"/>
      <c r="BJ32" s="9"/>
      <c r="BK32" s="9"/>
      <c r="BL32" s="9"/>
      <c r="BM32" s="9"/>
      <c r="BN32" s="9"/>
      <c r="BO32" s="10"/>
      <c r="BP32" s="10"/>
      <c r="BQ32" s="10"/>
      <c r="BR32" s="10"/>
      <c r="BS32" s="11"/>
      <c r="BT32" s="57"/>
      <c r="BU32" s="5"/>
      <c r="BV32" s="9"/>
      <c r="BW32" s="9"/>
      <c r="BX32" s="9"/>
      <c r="BY32" s="9"/>
      <c r="BZ32" s="9"/>
      <c r="CA32" s="9"/>
      <c r="CB32" s="10"/>
      <c r="CC32" s="10"/>
      <c r="CD32" s="10"/>
      <c r="CE32" s="10"/>
      <c r="CF32" s="10"/>
      <c r="CG32" s="11"/>
      <c r="CH32" s="61"/>
      <c r="CI32" s="182">
        <v>1200</v>
      </c>
      <c r="CJ32" s="52"/>
      <c r="CK32" s="290"/>
      <c r="CL32" s="266"/>
      <c r="CM32" s="266"/>
      <c r="CN32" s="288"/>
      <c r="CO32" s="288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 s="4" customFormat="1" ht="11.45" customHeight="1" x14ac:dyDescent="0.2">
      <c r="A33" s="182"/>
      <c r="B33" s="44"/>
      <c r="C33" s="12"/>
      <c r="D33" s="13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57"/>
      <c r="Q33" s="12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  <c r="AC33" s="15"/>
      <c r="AD33" s="57"/>
      <c r="AE33" s="12"/>
      <c r="AF33" s="13"/>
      <c r="AG33" s="13"/>
      <c r="AH33" s="13"/>
      <c r="AI33" s="13"/>
      <c r="AJ33" s="13"/>
      <c r="AK33" s="13"/>
      <c r="AL33" s="13"/>
      <c r="AM33" s="14"/>
      <c r="AN33" s="14"/>
      <c r="AO33" s="14"/>
      <c r="AP33" s="14"/>
      <c r="AQ33" s="15"/>
      <c r="AR33" s="57"/>
      <c r="AS33" s="12"/>
      <c r="AT33" s="13"/>
      <c r="AU33" s="13"/>
      <c r="AV33" s="13"/>
      <c r="AW33" s="13"/>
      <c r="AX33" s="13"/>
      <c r="AY33" s="13"/>
      <c r="AZ33" s="14"/>
      <c r="BA33" s="14"/>
      <c r="BB33" s="14"/>
      <c r="BC33" s="14"/>
      <c r="BD33" s="14"/>
      <c r="BE33" s="15"/>
      <c r="BF33" s="57"/>
      <c r="BG33" s="12"/>
      <c r="BH33" s="13"/>
      <c r="BI33" s="13"/>
      <c r="BJ33" s="13"/>
      <c r="BK33" s="13"/>
      <c r="BL33" s="13"/>
      <c r="BM33" s="13"/>
      <c r="BN33" s="13"/>
      <c r="BO33" s="14"/>
      <c r="BP33" s="14"/>
      <c r="BQ33" s="14"/>
      <c r="BR33" s="14"/>
      <c r="BS33" s="15"/>
      <c r="BT33" s="57"/>
      <c r="BU33" s="12"/>
      <c r="BV33" s="13"/>
      <c r="BW33" s="13"/>
      <c r="BX33" s="13"/>
      <c r="BY33" s="13"/>
      <c r="BZ33" s="13"/>
      <c r="CA33" s="13"/>
      <c r="CB33" s="14"/>
      <c r="CC33" s="14"/>
      <c r="CD33" s="14"/>
      <c r="CE33" s="14"/>
      <c r="CF33" s="14"/>
      <c r="CG33" s="15"/>
      <c r="CH33" s="61"/>
      <c r="CI33" s="182"/>
      <c r="CJ33" s="52"/>
      <c r="CK33" s="291"/>
      <c r="CL33" s="267"/>
      <c r="CM33" s="267"/>
      <c r="CN33" s="289"/>
      <c r="CO33" s="289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 s="4" customFormat="1" ht="11.45" customHeight="1" x14ac:dyDescent="0.2">
      <c r="A34" s="182"/>
      <c r="B34" s="44"/>
      <c r="C34" s="5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1"/>
      <c r="P34" s="57"/>
      <c r="Q34" s="5"/>
      <c r="R34" s="9"/>
      <c r="S34" s="9"/>
      <c r="T34" s="9"/>
      <c r="U34" s="9"/>
      <c r="V34" s="9"/>
      <c r="W34" s="9"/>
      <c r="X34" s="9"/>
      <c r="Y34" s="9"/>
      <c r="Z34" s="9"/>
      <c r="AA34" s="10"/>
      <c r="AB34" s="10"/>
      <c r="AC34" s="11"/>
      <c r="AD34" s="57"/>
      <c r="AE34" s="5"/>
      <c r="AF34" s="9"/>
      <c r="AG34" s="9"/>
      <c r="AH34" s="9"/>
      <c r="AI34" s="9"/>
      <c r="AJ34" s="9"/>
      <c r="AK34" s="9"/>
      <c r="AL34" s="9"/>
      <c r="AM34" s="10"/>
      <c r="AN34" s="10"/>
      <c r="AO34" s="10"/>
      <c r="AP34" s="10"/>
      <c r="AQ34" s="11"/>
      <c r="AR34" s="57"/>
      <c r="AS34" s="5"/>
      <c r="AT34" s="9"/>
      <c r="AU34" s="9"/>
      <c r="AV34" s="9"/>
      <c r="AW34" s="9"/>
      <c r="AX34" s="9"/>
      <c r="AY34" s="9"/>
      <c r="AZ34" s="10"/>
      <c r="BA34" s="10"/>
      <c r="BB34" s="10"/>
      <c r="BC34" s="10"/>
      <c r="BD34" s="10"/>
      <c r="BE34" s="11"/>
      <c r="BF34" s="57"/>
      <c r="BG34" s="5"/>
      <c r="BH34" s="9"/>
      <c r="BI34" s="9"/>
      <c r="BJ34" s="9"/>
      <c r="BK34" s="9"/>
      <c r="BL34" s="9"/>
      <c r="BM34" s="9"/>
      <c r="BN34" s="9"/>
      <c r="BO34" s="10"/>
      <c r="BP34" s="10"/>
      <c r="BQ34" s="10"/>
      <c r="BR34" s="10"/>
      <c r="BS34" s="11"/>
      <c r="BT34" s="57"/>
      <c r="BU34" s="5"/>
      <c r="BV34" s="9"/>
      <c r="BW34" s="9"/>
      <c r="BX34" s="9"/>
      <c r="BY34" s="9"/>
      <c r="BZ34" s="9"/>
      <c r="CA34" s="9"/>
      <c r="CB34" s="10"/>
      <c r="CC34" s="10"/>
      <c r="CD34" s="10"/>
      <c r="CE34" s="10"/>
      <c r="CF34" s="10"/>
      <c r="CG34" s="11"/>
      <c r="CH34" s="61"/>
      <c r="CI34" s="182"/>
      <c r="CJ34" s="52"/>
      <c r="CK34" s="290"/>
      <c r="CL34" s="266"/>
      <c r="CM34" s="266"/>
      <c r="CN34" s="288"/>
      <c r="CO34" s="288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 s="4" customFormat="1" ht="11.45" customHeight="1" x14ac:dyDescent="0.2">
      <c r="A35" s="182"/>
      <c r="B35" s="44"/>
      <c r="C35" s="12"/>
      <c r="D35" s="13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57"/>
      <c r="Q35" s="12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  <c r="AC35" s="15"/>
      <c r="AD35" s="57"/>
      <c r="AE35" s="12"/>
      <c r="AF35" s="13"/>
      <c r="AG35" s="13"/>
      <c r="AH35" s="13"/>
      <c r="AI35" s="13"/>
      <c r="AJ35" s="13"/>
      <c r="AK35" s="13"/>
      <c r="AL35" s="13"/>
      <c r="AM35" s="14"/>
      <c r="AN35" s="14"/>
      <c r="AO35" s="14"/>
      <c r="AP35" s="14"/>
      <c r="AQ35" s="15"/>
      <c r="AR35" s="57"/>
      <c r="AS35" s="12"/>
      <c r="AT35" s="13"/>
      <c r="AU35" s="13"/>
      <c r="AV35" s="13"/>
      <c r="AW35" s="13"/>
      <c r="AX35" s="13"/>
      <c r="AY35" s="13"/>
      <c r="AZ35" s="14"/>
      <c r="BA35" s="14"/>
      <c r="BB35" s="14"/>
      <c r="BC35" s="14"/>
      <c r="BD35" s="14"/>
      <c r="BE35" s="15"/>
      <c r="BF35" s="57"/>
      <c r="BG35" s="12"/>
      <c r="BH35" s="13"/>
      <c r="BI35" s="13"/>
      <c r="BJ35" s="13"/>
      <c r="BK35" s="13"/>
      <c r="BL35" s="13"/>
      <c r="BM35" s="13"/>
      <c r="BN35" s="13"/>
      <c r="BO35" s="14"/>
      <c r="BP35" s="14"/>
      <c r="BQ35" s="14"/>
      <c r="BR35" s="14"/>
      <c r="BS35" s="15"/>
      <c r="BT35" s="57"/>
      <c r="BU35" s="12"/>
      <c r="BV35" s="13"/>
      <c r="BW35" s="13"/>
      <c r="BX35" s="13"/>
      <c r="BY35" s="13"/>
      <c r="BZ35" s="13"/>
      <c r="CA35" s="13"/>
      <c r="CB35" s="14"/>
      <c r="CC35" s="14"/>
      <c r="CD35" s="14"/>
      <c r="CE35" s="14"/>
      <c r="CF35" s="14"/>
      <c r="CG35" s="15"/>
      <c r="CH35" s="61"/>
      <c r="CI35" s="182"/>
      <c r="CJ35" s="52"/>
      <c r="CK35" s="291"/>
      <c r="CL35" s="267"/>
      <c r="CM35" s="267"/>
      <c r="CN35" s="289"/>
      <c r="CO35" s="289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 s="4" customFormat="1" ht="11.45" customHeight="1" x14ac:dyDescent="0.2">
      <c r="A36" s="182">
        <v>1300</v>
      </c>
      <c r="B36" s="44"/>
      <c r="C36" s="5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57"/>
      <c r="Q36" s="5"/>
      <c r="R36" s="9"/>
      <c r="S36" s="9"/>
      <c r="T36" s="9"/>
      <c r="U36" s="9"/>
      <c r="V36" s="9"/>
      <c r="W36" s="9"/>
      <c r="X36" s="9"/>
      <c r="Y36" s="9"/>
      <c r="Z36" s="9"/>
      <c r="AA36" s="10"/>
      <c r="AB36" s="10"/>
      <c r="AC36" s="11"/>
      <c r="AD36" s="57"/>
      <c r="AE36" s="5"/>
      <c r="AF36" s="9"/>
      <c r="AG36" s="9"/>
      <c r="AH36" s="9"/>
      <c r="AI36" s="9"/>
      <c r="AJ36" s="9"/>
      <c r="AK36" s="9"/>
      <c r="AL36" s="9"/>
      <c r="AM36" s="10"/>
      <c r="AN36" s="10"/>
      <c r="AO36" s="10"/>
      <c r="AP36" s="10"/>
      <c r="AQ36" s="11"/>
      <c r="AR36" s="57"/>
      <c r="AS36" s="5"/>
      <c r="AT36" s="9"/>
      <c r="AU36" s="9"/>
      <c r="AV36" s="9"/>
      <c r="AW36" s="9"/>
      <c r="AX36" s="9"/>
      <c r="AY36" s="9"/>
      <c r="AZ36" s="10"/>
      <c r="BA36" s="10"/>
      <c r="BB36" s="10"/>
      <c r="BC36" s="10"/>
      <c r="BD36" s="10"/>
      <c r="BE36" s="11"/>
      <c r="BF36" s="57"/>
      <c r="BG36" s="5"/>
      <c r="BH36" s="9"/>
      <c r="BI36" s="9"/>
      <c r="BJ36" s="9"/>
      <c r="BK36" s="9"/>
      <c r="BL36" s="9"/>
      <c r="BM36" s="9"/>
      <c r="BN36" s="9"/>
      <c r="BO36" s="10"/>
      <c r="BP36" s="10"/>
      <c r="BQ36" s="10"/>
      <c r="BR36" s="10"/>
      <c r="BS36" s="11"/>
      <c r="BT36" s="57"/>
      <c r="BU36" s="5"/>
      <c r="BV36" s="9"/>
      <c r="BW36" s="9"/>
      <c r="BX36" s="9"/>
      <c r="BY36" s="9"/>
      <c r="BZ36" s="9"/>
      <c r="CA36" s="9"/>
      <c r="CB36" s="10"/>
      <c r="CC36" s="10"/>
      <c r="CD36" s="10"/>
      <c r="CE36" s="10"/>
      <c r="CF36" s="10"/>
      <c r="CG36" s="11"/>
      <c r="CH36" s="61"/>
      <c r="CI36" s="182">
        <v>1300</v>
      </c>
      <c r="CJ36" s="52"/>
      <c r="CK36" s="290"/>
      <c r="CL36" s="266"/>
      <c r="CM36" s="266"/>
      <c r="CN36" s="288"/>
      <c r="CO36" s="288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7" spans="1:143" s="4" customFormat="1" ht="11.45" customHeight="1" x14ac:dyDescent="0.2">
      <c r="A37" s="182"/>
      <c r="B37" s="44"/>
      <c r="C37" s="12"/>
      <c r="D37" s="13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57"/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  <c r="AC37" s="15"/>
      <c r="AD37" s="57"/>
      <c r="AE37" s="12"/>
      <c r="AF37" s="13"/>
      <c r="AG37" s="13"/>
      <c r="AH37" s="13"/>
      <c r="AI37" s="13"/>
      <c r="AJ37" s="13"/>
      <c r="AK37" s="13"/>
      <c r="AL37" s="13"/>
      <c r="AM37" s="14"/>
      <c r="AN37" s="14"/>
      <c r="AO37" s="14"/>
      <c r="AP37" s="14"/>
      <c r="AQ37" s="15"/>
      <c r="AR37" s="57"/>
      <c r="AS37" s="12"/>
      <c r="AT37" s="13"/>
      <c r="AU37" s="13"/>
      <c r="AV37" s="13"/>
      <c r="AW37" s="13"/>
      <c r="AX37" s="13"/>
      <c r="AY37" s="13"/>
      <c r="AZ37" s="14"/>
      <c r="BA37" s="14"/>
      <c r="BB37" s="14"/>
      <c r="BC37" s="14"/>
      <c r="BD37" s="14"/>
      <c r="BE37" s="15"/>
      <c r="BF37" s="57"/>
      <c r="BG37" s="12"/>
      <c r="BH37" s="13"/>
      <c r="BI37" s="13"/>
      <c r="BJ37" s="13"/>
      <c r="BK37" s="13"/>
      <c r="BL37" s="13"/>
      <c r="BM37" s="13"/>
      <c r="BN37" s="13"/>
      <c r="BO37" s="14"/>
      <c r="BP37" s="14"/>
      <c r="BQ37" s="14"/>
      <c r="BR37" s="14"/>
      <c r="BS37" s="15"/>
      <c r="BT37" s="57"/>
      <c r="BU37" s="12"/>
      <c r="BV37" s="13"/>
      <c r="BW37" s="13"/>
      <c r="BX37" s="13"/>
      <c r="BY37" s="13"/>
      <c r="BZ37" s="13"/>
      <c r="CA37" s="13"/>
      <c r="CB37" s="14"/>
      <c r="CC37" s="14"/>
      <c r="CD37" s="14"/>
      <c r="CE37" s="14"/>
      <c r="CF37" s="14"/>
      <c r="CG37" s="15"/>
      <c r="CH37" s="61"/>
      <c r="CI37" s="182"/>
      <c r="CJ37" s="52"/>
      <c r="CK37" s="291"/>
      <c r="CL37" s="267"/>
      <c r="CM37" s="267"/>
      <c r="CN37" s="289"/>
      <c r="CO37" s="289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</row>
    <row r="38" spans="1:143" s="4" customFormat="1" ht="11.45" customHeight="1" x14ac:dyDescent="0.2">
      <c r="A38" s="182"/>
      <c r="B38" s="44"/>
      <c r="C38" s="5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57"/>
      <c r="Q38" s="5"/>
      <c r="R38" s="9"/>
      <c r="S38" s="9"/>
      <c r="T38" s="9"/>
      <c r="U38" s="9"/>
      <c r="V38" s="9"/>
      <c r="W38" s="9"/>
      <c r="X38" s="9"/>
      <c r="Y38" s="9"/>
      <c r="Z38" s="9"/>
      <c r="AA38" s="10"/>
      <c r="AB38" s="10"/>
      <c r="AC38" s="11"/>
      <c r="AD38" s="57"/>
      <c r="AE38" s="5"/>
      <c r="AF38" s="9"/>
      <c r="AG38" s="9"/>
      <c r="AH38" s="9"/>
      <c r="AI38" s="9"/>
      <c r="AJ38" s="9"/>
      <c r="AK38" s="9"/>
      <c r="AL38" s="9"/>
      <c r="AM38" s="10"/>
      <c r="AN38" s="10"/>
      <c r="AO38" s="10"/>
      <c r="AP38" s="10"/>
      <c r="AQ38" s="11"/>
      <c r="AR38" s="57"/>
      <c r="AS38" s="5"/>
      <c r="AT38" s="9"/>
      <c r="AU38" s="9"/>
      <c r="AV38" s="9"/>
      <c r="AW38" s="9"/>
      <c r="AX38" s="9"/>
      <c r="AY38" s="9"/>
      <c r="AZ38" s="10"/>
      <c r="BA38" s="10"/>
      <c r="BB38" s="10"/>
      <c r="BC38" s="10"/>
      <c r="BD38" s="10"/>
      <c r="BE38" s="11"/>
      <c r="BF38" s="57"/>
      <c r="BG38" s="5"/>
      <c r="BH38" s="9"/>
      <c r="BI38" s="9"/>
      <c r="BJ38" s="9"/>
      <c r="BK38" s="9"/>
      <c r="BL38" s="9"/>
      <c r="BM38" s="9"/>
      <c r="BN38" s="9"/>
      <c r="BO38" s="10"/>
      <c r="BP38" s="10"/>
      <c r="BQ38" s="10"/>
      <c r="BR38" s="10"/>
      <c r="BS38" s="11"/>
      <c r="BT38" s="57"/>
      <c r="BU38" s="5"/>
      <c r="BV38" s="9"/>
      <c r="BW38" s="9"/>
      <c r="BX38" s="9"/>
      <c r="BY38" s="9"/>
      <c r="BZ38" s="9"/>
      <c r="CA38" s="9"/>
      <c r="CB38" s="10"/>
      <c r="CC38" s="10"/>
      <c r="CD38" s="10"/>
      <c r="CE38" s="10"/>
      <c r="CF38" s="10"/>
      <c r="CG38" s="11"/>
      <c r="CH38" s="61"/>
      <c r="CI38" s="182"/>
      <c r="CJ38" s="52"/>
      <c r="CK38" s="264"/>
      <c r="CL38" s="266"/>
      <c r="CM38" s="266"/>
      <c r="CN38" s="288"/>
      <c r="CO38" s="288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</row>
    <row r="39" spans="1:143" s="4" customFormat="1" ht="11.45" customHeight="1" x14ac:dyDescent="0.2">
      <c r="A39" s="182"/>
      <c r="B39" s="44"/>
      <c r="C39" s="12"/>
      <c r="D39" s="13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57"/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  <c r="AC39" s="15"/>
      <c r="AD39" s="57"/>
      <c r="AE39" s="12"/>
      <c r="AF39" s="13"/>
      <c r="AG39" s="13"/>
      <c r="AH39" s="13"/>
      <c r="AI39" s="13"/>
      <c r="AJ39" s="13"/>
      <c r="AK39" s="13"/>
      <c r="AL39" s="13"/>
      <c r="AM39" s="14"/>
      <c r="AN39" s="14"/>
      <c r="AO39" s="14"/>
      <c r="AP39" s="14"/>
      <c r="AQ39" s="15"/>
      <c r="AR39" s="57"/>
      <c r="AS39" s="12"/>
      <c r="AT39" s="13"/>
      <c r="AU39" s="13"/>
      <c r="AV39" s="13"/>
      <c r="AW39" s="13"/>
      <c r="AX39" s="13"/>
      <c r="AY39" s="13"/>
      <c r="AZ39" s="14"/>
      <c r="BA39" s="14"/>
      <c r="BB39" s="14"/>
      <c r="BC39" s="14"/>
      <c r="BD39" s="14"/>
      <c r="BE39" s="15"/>
      <c r="BF39" s="57"/>
      <c r="BG39" s="12"/>
      <c r="BH39" s="13"/>
      <c r="BI39" s="13"/>
      <c r="BJ39" s="13"/>
      <c r="BK39" s="13"/>
      <c r="BL39" s="13"/>
      <c r="BM39" s="13"/>
      <c r="BN39" s="13"/>
      <c r="BO39" s="14"/>
      <c r="BP39" s="14"/>
      <c r="BQ39" s="14"/>
      <c r="BR39" s="14"/>
      <c r="BS39" s="15"/>
      <c r="BT39" s="57"/>
      <c r="BU39" s="25"/>
      <c r="BV39" s="6"/>
      <c r="BW39" s="6"/>
      <c r="BX39" s="6"/>
      <c r="BY39" s="6"/>
      <c r="BZ39" s="6"/>
      <c r="CA39" s="6"/>
      <c r="CB39" s="86"/>
      <c r="CC39" s="86"/>
      <c r="CD39" s="86"/>
      <c r="CE39" s="86"/>
      <c r="CF39" s="86"/>
      <c r="CG39" s="87"/>
      <c r="CH39" s="61"/>
      <c r="CI39" s="182"/>
      <c r="CJ39" s="52"/>
      <c r="CK39" s="265"/>
      <c r="CL39" s="267"/>
      <c r="CM39" s="267"/>
      <c r="CN39" s="289"/>
      <c r="CO39" s="289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</row>
    <row r="40" spans="1:143" s="4" customFormat="1" ht="11.45" customHeight="1" x14ac:dyDescent="0.2">
      <c r="A40" s="182">
        <v>1400</v>
      </c>
      <c r="B40" s="44"/>
      <c r="C40" s="5"/>
      <c r="D40" s="9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1"/>
      <c r="P40" s="57"/>
      <c r="Q40" s="5"/>
      <c r="R40" s="9"/>
      <c r="S40" s="9"/>
      <c r="T40" s="9"/>
      <c r="U40" s="9"/>
      <c r="V40" s="9"/>
      <c r="W40" s="9"/>
      <c r="X40" s="9"/>
      <c r="Y40" s="9"/>
      <c r="Z40" s="9"/>
      <c r="AA40" s="10"/>
      <c r="AB40" s="10"/>
      <c r="AC40" s="11"/>
      <c r="AD40" s="57"/>
      <c r="AE40" s="5"/>
      <c r="AF40" s="9"/>
      <c r="AG40" s="9"/>
      <c r="AH40" s="9"/>
      <c r="AI40" s="9"/>
      <c r="AJ40" s="9"/>
      <c r="AK40" s="9"/>
      <c r="AL40" s="9"/>
      <c r="AM40" s="10"/>
      <c r="AN40" s="10"/>
      <c r="AO40" s="10"/>
      <c r="AP40" s="10"/>
      <c r="AQ40" s="11"/>
      <c r="AR40" s="57"/>
      <c r="AS40" s="5"/>
      <c r="AT40" s="9"/>
      <c r="AU40" s="9"/>
      <c r="AV40" s="9"/>
      <c r="AW40" s="9"/>
      <c r="AX40" s="9"/>
      <c r="AY40" s="9"/>
      <c r="AZ40" s="10"/>
      <c r="BA40" s="10"/>
      <c r="BB40" s="10"/>
      <c r="BC40" s="10"/>
      <c r="BD40" s="10"/>
      <c r="BE40" s="11"/>
      <c r="BF40" s="57"/>
      <c r="BG40" s="5"/>
      <c r="BH40" s="9"/>
      <c r="BI40" s="9"/>
      <c r="BJ40" s="9"/>
      <c r="BK40" s="9"/>
      <c r="BL40" s="9"/>
      <c r="BM40" s="9"/>
      <c r="BN40" s="9"/>
      <c r="BO40" s="10"/>
      <c r="BP40" s="10"/>
      <c r="BQ40" s="10"/>
      <c r="BR40" s="10"/>
      <c r="BS40" s="11"/>
      <c r="BT40" s="57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9"/>
      <c r="CH40" s="61"/>
      <c r="CI40" s="182">
        <v>1400</v>
      </c>
      <c r="CJ40" s="52"/>
      <c r="CK40" s="290"/>
      <c r="CL40" s="266"/>
      <c r="CM40" s="266"/>
      <c r="CN40" s="288"/>
      <c r="CO40" s="288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</row>
    <row r="41" spans="1:143" s="4" customFormat="1" ht="11.45" customHeight="1" x14ac:dyDescent="0.2">
      <c r="A41" s="182"/>
      <c r="B41" s="44"/>
      <c r="C41" s="12"/>
      <c r="D41" s="13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57"/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  <c r="AC41" s="15"/>
      <c r="AD41" s="57"/>
      <c r="AE41" s="12"/>
      <c r="AF41" s="13"/>
      <c r="AG41" s="13"/>
      <c r="AH41" s="13"/>
      <c r="AI41" s="13"/>
      <c r="AJ41" s="13"/>
      <c r="AK41" s="13"/>
      <c r="AL41" s="13"/>
      <c r="AM41" s="14"/>
      <c r="AN41" s="14"/>
      <c r="AO41" s="14"/>
      <c r="AP41" s="14"/>
      <c r="AQ41" s="15"/>
      <c r="AR41" s="57"/>
      <c r="AS41" s="12"/>
      <c r="AT41" s="13"/>
      <c r="AU41" s="13"/>
      <c r="AV41" s="13"/>
      <c r="AW41" s="13"/>
      <c r="AX41" s="13"/>
      <c r="AY41" s="13"/>
      <c r="AZ41" s="14"/>
      <c r="BA41" s="14"/>
      <c r="BB41" s="14"/>
      <c r="BC41" s="14"/>
      <c r="BD41" s="14"/>
      <c r="BE41" s="15"/>
      <c r="BF41" s="57"/>
      <c r="BG41" s="12"/>
      <c r="BH41" s="13"/>
      <c r="BI41" s="13"/>
      <c r="BJ41" s="13"/>
      <c r="BK41" s="13"/>
      <c r="BL41" s="13"/>
      <c r="BM41" s="13"/>
      <c r="BN41" s="13"/>
      <c r="BO41" s="14"/>
      <c r="BP41" s="14"/>
      <c r="BQ41" s="14"/>
      <c r="BR41" s="14"/>
      <c r="BS41" s="15"/>
      <c r="BT41" s="57"/>
      <c r="BU41" s="217" t="s">
        <v>42</v>
      </c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9"/>
      <c r="CH41" s="62"/>
      <c r="CI41" s="182"/>
      <c r="CJ41" s="52"/>
      <c r="CK41" s="291"/>
      <c r="CL41" s="267"/>
      <c r="CM41" s="267"/>
      <c r="CN41" s="289"/>
      <c r="CO41" s="289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</row>
    <row r="42" spans="1:143" s="4" customFormat="1" ht="11.45" customHeight="1" x14ac:dyDescent="0.2">
      <c r="A42" s="182"/>
      <c r="B42" s="44"/>
      <c r="C42" s="5"/>
      <c r="D42" s="9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1"/>
      <c r="P42" s="57"/>
      <c r="Q42" s="5"/>
      <c r="R42" s="9"/>
      <c r="S42" s="9"/>
      <c r="T42" s="9"/>
      <c r="U42" s="9"/>
      <c r="V42" s="9"/>
      <c r="W42" s="9"/>
      <c r="X42" s="9"/>
      <c r="Y42" s="9"/>
      <c r="Z42" s="9"/>
      <c r="AA42" s="10"/>
      <c r="AB42" s="10"/>
      <c r="AC42" s="11"/>
      <c r="AD42" s="57"/>
      <c r="AE42" s="5"/>
      <c r="AF42" s="9"/>
      <c r="AG42" s="9"/>
      <c r="AH42" s="9"/>
      <c r="AI42" s="9"/>
      <c r="AJ42" s="9"/>
      <c r="AK42" s="9"/>
      <c r="AL42" s="9"/>
      <c r="AM42" s="10"/>
      <c r="AN42" s="10"/>
      <c r="AO42" s="10"/>
      <c r="AP42" s="10"/>
      <c r="AQ42" s="11"/>
      <c r="AR42" s="57"/>
      <c r="AS42" s="5"/>
      <c r="AT42" s="9"/>
      <c r="AU42" s="9"/>
      <c r="AV42" s="9"/>
      <c r="AW42" s="9"/>
      <c r="AX42" s="9"/>
      <c r="AY42" s="9"/>
      <c r="AZ42" s="10"/>
      <c r="BA42" s="10"/>
      <c r="BB42" s="10"/>
      <c r="BC42" s="10"/>
      <c r="BD42" s="10"/>
      <c r="BE42" s="11"/>
      <c r="BF42" s="57"/>
      <c r="BG42" s="5"/>
      <c r="BH42" s="9"/>
      <c r="BI42" s="9"/>
      <c r="BJ42" s="9"/>
      <c r="BK42" s="9"/>
      <c r="BL42" s="9"/>
      <c r="BM42" s="9"/>
      <c r="BN42" s="9"/>
      <c r="BO42" s="10"/>
      <c r="BP42" s="10"/>
      <c r="BQ42" s="10"/>
      <c r="BR42" s="10"/>
      <c r="BS42" s="11"/>
      <c r="BT42" s="57"/>
      <c r="BU42" s="217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9"/>
      <c r="CH42" s="62"/>
      <c r="CI42" s="182"/>
      <c r="CJ42" s="52"/>
      <c r="CK42" s="290"/>
      <c r="CL42" s="266"/>
      <c r="CM42" s="266"/>
      <c r="CN42" s="288"/>
      <c r="CO42" s="288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</row>
    <row r="43" spans="1:143" s="4" customFormat="1" ht="11.45" customHeight="1" x14ac:dyDescent="0.2">
      <c r="A43" s="182"/>
      <c r="B43" s="44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5"/>
      <c r="P43" s="57"/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  <c r="AC43" s="15"/>
      <c r="AD43" s="57"/>
      <c r="AE43" s="12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24"/>
      <c r="AR43" s="57"/>
      <c r="AS43" s="12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24"/>
      <c r="BF43" s="57"/>
      <c r="BG43" s="12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5"/>
      <c r="BT43" s="57"/>
      <c r="BU43" s="205">
        <f>$U$3+6</f>
        <v>44003</v>
      </c>
      <c r="BV43" s="206"/>
      <c r="BW43" s="206"/>
      <c r="BX43" s="206"/>
      <c r="BY43" s="206"/>
      <c r="BZ43" s="206"/>
      <c r="CA43" s="206"/>
      <c r="CB43" s="206"/>
      <c r="CC43" s="206"/>
      <c r="CD43" s="206"/>
      <c r="CE43" s="206"/>
      <c r="CF43" s="206"/>
      <c r="CG43" s="207"/>
      <c r="CH43" s="63"/>
      <c r="CI43" s="182"/>
      <c r="CJ43" s="52"/>
      <c r="CK43" s="291"/>
      <c r="CL43" s="267"/>
      <c r="CM43" s="267"/>
      <c r="CN43" s="289"/>
      <c r="CO43" s="289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</row>
    <row r="44" spans="1:143" s="4" customFormat="1" ht="11.45" customHeight="1" x14ac:dyDescent="0.2">
      <c r="A44" s="182">
        <v>1500</v>
      </c>
      <c r="B44" s="44"/>
      <c r="C44" s="25"/>
      <c r="D44" s="6"/>
      <c r="E44" s="6"/>
      <c r="F44" s="9"/>
      <c r="G44" s="9"/>
      <c r="H44" s="9"/>
      <c r="I44" s="9"/>
      <c r="J44" s="9"/>
      <c r="K44" s="9"/>
      <c r="L44" s="9"/>
      <c r="M44" s="9"/>
      <c r="N44" s="10"/>
      <c r="O44" s="11"/>
      <c r="P44" s="57"/>
      <c r="Q44" s="5"/>
      <c r="R44" s="6"/>
      <c r="S44" s="6"/>
      <c r="T44" s="6"/>
      <c r="U44" s="6"/>
      <c r="V44" s="6"/>
      <c r="W44" s="6"/>
      <c r="X44" s="6"/>
      <c r="Y44" s="6"/>
      <c r="Z44" s="6"/>
      <c r="AA44" s="9"/>
      <c r="AB44" s="10"/>
      <c r="AC44" s="11"/>
      <c r="AD44" s="57"/>
      <c r="AE44" s="5"/>
      <c r="AF44" s="6"/>
      <c r="AG44" s="6"/>
      <c r="AH44" s="6"/>
      <c r="AI44" s="6"/>
      <c r="AJ44" s="6"/>
      <c r="AK44" s="6"/>
      <c r="AL44" s="6"/>
      <c r="AM44" s="9"/>
      <c r="AN44" s="9"/>
      <c r="AO44" s="9"/>
      <c r="AP44" s="9"/>
      <c r="AQ44" s="11"/>
      <c r="AR44" s="57"/>
      <c r="AS44" s="25"/>
      <c r="AT44" s="6"/>
      <c r="AU44" s="6"/>
      <c r="AV44" s="6"/>
      <c r="AW44" s="6"/>
      <c r="AX44" s="6"/>
      <c r="AY44" s="6"/>
      <c r="AZ44" s="9"/>
      <c r="BA44" s="9"/>
      <c r="BB44" s="9"/>
      <c r="BC44" s="9"/>
      <c r="BD44" s="9"/>
      <c r="BE44" s="11"/>
      <c r="BF44" s="57"/>
      <c r="BG44" s="25"/>
      <c r="BH44" s="6"/>
      <c r="BI44" s="6"/>
      <c r="BJ44" s="6"/>
      <c r="BK44" s="6"/>
      <c r="BL44" s="6"/>
      <c r="BM44" s="6"/>
      <c r="BN44" s="6"/>
      <c r="BO44" s="9"/>
      <c r="BP44" s="9"/>
      <c r="BQ44" s="9"/>
      <c r="BR44" s="9"/>
      <c r="BS44" s="11"/>
      <c r="BT44" s="57"/>
      <c r="BU44" s="208"/>
      <c r="BV44" s="209"/>
      <c r="BW44" s="209"/>
      <c r="BX44" s="209"/>
      <c r="BY44" s="209"/>
      <c r="BZ44" s="209"/>
      <c r="CA44" s="209"/>
      <c r="CB44" s="209"/>
      <c r="CC44" s="209"/>
      <c r="CD44" s="209"/>
      <c r="CE44" s="209"/>
      <c r="CF44" s="209"/>
      <c r="CG44" s="210"/>
      <c r="CH44" s="63"/>
      <c r="CI44" s="182">
        <v>1500</v>
      </c>
      <c r="CJ44" s="52"/>
      <c r="CK44" s="290"/>
      <c r="CL44" s="266"/>
      <c r="CM44" s="266"/>
      <c r="CN44" s="288"/>
      <c r="CO44" s="288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</row>
    <row r="45" spans="1:143" s="4" customFormat="1" ht="11.45" customHeight="1" x14ac:dyDescent="0.2">
      <c r="A45" s="182"/>
      <c r="B45" s="44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5"/>
      <c r="P45" s="57"/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15"/>
      <c r="AD45" s="57"/>
      <c r="AE45" s="12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5"/>
      <c r="AR45" s="57"/>
      <c r="AS45" s="12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5"/>
      <c r="BF45" s="57"/>
      <c r="BG45" s="12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5"/>
      <c r="BT45" s="57"/>
      <c r="BU45" s="12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5"/>
      <c r="CH45" s="61"/>
      <c r="CI45" s="182"/>
      <c r="CJ45" s="52"/>
      <c r="CK45" s="291"/>
      <c r="CL45" s="267"/>
      <c r="CM45" s="267"/>
      <c r="CN45" s="289"/>
      <c r="CO45" s="289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</row>
    <row r="46" spans="1:143" s="4" customFormat="1" ht="11.45" customHeight="1" x14ac:dyDescent="0.2">
      <c r="A46" s="182"/>
      <c r="B46" s="44"/>
      <c r="C46" s="25"/>
      <c r="D46" s="6"/>
      <c r="E46" s="6"/>
      <c r="F46" s="9"/>
      <c r="G46" s="9"/>
      <c r="H46" s="9"/>
      <c r="I46" s="9"/>
      <c r="J46" s="9"/>
      <c r="K46" s="9"/>
      <c r="L46" s="9"/>
      <c r="M46" s="9"/>
      <c r="N46" s="10"/>
      <c r="O46" s="11"/>
      <c r="P46" s="57"/>
      <c r="Q46" s="5"/>
      <c r="R46" s="6"/>
      <c r="S46" s="6"/>
      <c r="T46" s="6"/>
      <c r="U46" s="6"/>
      <c r="V46" s="6"/>
      <c r="W46" s="6"/>
      <c r="X46" s="6"/>
      <c r="Y46" s="6"/>
      <c r="Z46" s="6"/>
      <c r="AA46" s="9"/>
      <c r="AB46" s="10"/>
      <c r="AC46" s="11"/>
      <c r="AD46" s="57"/>
      <c r="AE46" s="5"/>
      <c r="AF46" s="6"/>
      <c r="AG46" s="6"/>
      <c r="AH46" s="6"/>
      <c r="AI46" s="6"/>
      <c r="AJ46" s="6"/>
      <c r="AK46" s="6"/>
      <c r="AL46" s="6"/>
      <c r="AM46" s="9"/>
      <c r="AN46" s="9"/>
      <c r="AO46" s="9"/>
      <c r="AP46" s="9"/>
      <c r="AQ46" s="11"/>
      <c r="AR46" s="57"/>
      <c r="AS46" s="25"/>
      <c r="AT46" s="6"/>
      <c r="AU46" s="6"/>
      <c r="AV46" s="6"/>
      <c r="AW46" s="6"/>
      <c r="AX46" s="6"/>
      <c r="AY46" s="6"/>
      <c r="AZ46" s="9"/>
      <c r="BA46" s="9"/>
      <c r="BB46" s="9"/>
      <c r="BC46" s="9"/>
      <c r="BD46" s="9"/>
      <c r="BE46" s="11"/>
      <c r="BF46" s="57"/>
      <c r="BG46" s="25"/>
      <c r="BH46" s="6"/>
      <c r="BI46" s="6"/>
      <c r="BJ46" s="6"/>
      <c r="BK46" s="6"/>
      <c r="BL46" s="6"/>
      <c r="BM46" s="6"/>
      <c r="BN46" s="6"/>
      <c r="BO46" s="9"/>
      <c r="BP46" s="9"/>
      <c r="BQ46" s="9"/>
      <c r="BR46" s="9"/>
      <c r="BS46" s="11"/>
      <c r="BT46" s="57"/>
      <c r="BU46" s="25"/>
      <c r="BV46" s="6"/>
      <c r="BW46" s="6"/>
      <c r="BX46" s="6"/>
      <c r="BY46" s="6"/>
      <c r="BZ46" s="6"/>
      <c r="CA46" s="6"/>
      <c r="CB46" s="9"/>
      <c r="CC46" s="9"/>
      <c r="CD46" s="9"/>
      <c r="CE46" s="9"/>
      <c r="CF46" s="9"/>
      <c r="CG46" s="11"/>
      <c r="CH46" s="61"/>
      <c r="CI46" s="182"/>
      <c r="CJ46" s="52"/>
      <c r="CK46" s="290"/>
      <c r="CL46" s="266"/>
      <c r="CM46" s="266"/>
      <c r="CN46" s="288"/>
      <c r="CO46" s="288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</row>
    <row r="47" spans="1:143" s="4" customFormat="1" ht="11.45" customHeight="1" x14ac:dyDescent="0.2">
      <c r="A47" s="182"/>
      <c r="B47" s="44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5"/>
      <c r="P47" s="57"/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4"/>
      <c r="AC47" s="15"/>
      <c r="AD47" s="57"/>
      <c r="AE47" s="12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5"/>
      <c r="AR47" s="57"/>
      <c r="AS47" s="12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5"/>
      <c r="BF47" s="57"/>
      <c r="BG47" s="12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5"/>
      <c r="BT47" s="57"/>
      <c r="BU47" s="12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5"/>
      <c r="CH47" s="61"/>
      <c r="CI47" s="182"/>
      <c r="CJ47" s="52"/>
      <c r="CK47" s="291"/>
      <c r="CL47" s="267"/>
      <c r="CM47" s="267"/>
      <c r="CN47" s="289"/>
      <c r="CO47" s="289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</row>
    <row r="48" spans="1:143" s="4" customFormat="1" ht="11.45" customHeight="1" x14ac:dyDescent="0.2">
      <c r="A48" s="182">
        <v>1600</v>
      </c>
      <c r="B48" s="44"/>
      <c r="C48" s="5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  <c r="O48" s="11"/>
      <c r="P48" s="57"/>
      <c r="Q48" s="5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11"/>
      <c r="AD48" s="57"/>
      <c r="AE48" s="5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11"/>
      <c r="AR48" s="57"/>
      <c r="AS48" s="5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11"/>
      <c r="BF48" s="57"/>
      <c r="BG48" s="5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11"/>
      <c r="BT48" s="57"/>
      <c r="BU48" s="5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11"/>
      <c r="CH48" s="61"/>
      <c r="CI48" s="182">
        <v>1600</v>
      </c>
      <c r="CJ48" s="52"/>
      <c r="CK48" s="290"/>
      <c r="CL48" s="266"/>
      <c r="CM48" s="266"/>
      <c r="CN48" s="288"/>
      <c r="CO48" s="288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1:143" s="4" customFormat="1" ht="11.45" customHeight="1" x14ac:dyDescent="0.2">
      <c r="A49" s="182"/>
      <c r="B49" s="44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5"/>
      <c r="P49" s="57"/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4"/>
      <c r="AC49" s="15"/>
      <c r="AD49" s="57"/>
      <c r="AE49" s="12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5"/>
      <c r="AR49" s="57"/>
      <c r="AS49" s="12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5"/>
      <c r="BF49" s="57"/>
      <c r="BG49" s="12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5"/>
      <c r="BT49" s="57"/>
      <c r="BU49" s="12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5"/>
      <c r="CH49" s="61"/>
      <c r="CI49" s="182"/>
      <c r="CJ49" s="52"/>
      <c r="CK49" s="291"/>
      <c r="CL49" s="267"/>
      <c r="CM49" s="267"/>
      <c r="CN49" s="289"/>
      <c r="CO49" s="289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1:143" s="4" customFormat="1" ht="11.45" customHeight="1" x14ac:dyDescent="0.2">
      <c r="A50" s="182"/>
      <c r="B50" s="44"/>
      <c r="C50" s="25"/>
      <c r="D50" s="6"/>
      <c r="E50" s="6"/>
      <c r="F50" s="9"/>
      <c r="G50" s="9"/>
      <c r="H50" s="9"/>
      <c r="I50" s="9"/>
      <c r="J50" s="9"/>
      <c r="K50" s="9"/>
      <c r="L50" s="9"/>
      <c r="M50" s="9"/>
      <c r="N50" s="10"/>
      <c r="O50" s="11"/>
      <c r="P50" s="57"/>
      <c r="Q50" s="5"/>
      <c r="R50" s="6"/>
      <c r="S50" s="6"/>
      <c r="T50" s="6"/>
      <c r="U50" s="6"/>
      <c r="V50" s="6"/>
      <c r="W50" s="6"/>
      <c r="X50" s="6"/>
      <c r="Y50" s="6"/>
      <c r="Z50" s="6"/>
      <c r="AA50" s="9"/>
      <c r="AB50" s="10"/>
      <c r="AC50" s="11"/>
      <c r="AD50" s="57"/>
      <c r="AE50" s="5"/>
      <c r="AF50" s="6"/>
      <c r="AG50" s="6"/>
      <c r="AH50" s="6"/>
      <c r="AI50" s="6"/>
      <c r="AJ50" s="6"/>
      <c r="AK50" s="6"/>
      <c r="AL50" s="6"/>
      <c r="AM50" s="9"/>
      <c r="AN50" s="9"/>
      <c r="AO50" s="9"/>
      <c r="AP50" s="9"/>
      <c r="AQ50" s="26"/>
      <c r="AR50" s="57"/>
      <c r="AS50" s="25"/>
      <c r="AT50" s="6"/>
      <c r="AU50" s="6"/>
      <c r="AV50" s="6"/>
      <c r="AW50" s="6"/>
      <c r="AX50" s="6"/>
      <c r="AY50" s="6"/>
      <c r="AZ50" s="9"/>
      <c r="BA50" s="9"/>
      <c r="BB50" s="9"/>
      <c r="BC50" s="9"/>
      <c r="BD50" s="9"/>
      <c r="BE50" s="26"/>
      <c r="BF50" s="57"/>
      <c r="BG50" s="25"/>
      <c r="BH50" s="6"/>
      <c r="BI50" s="6"/>
      <c r="BJ50" s="6"/>
      <c r="BK50" s="6"/>
      <c r="BL50" s="6"/>
      <c r="BM50" s="6"/>
      <c r="BN50" s="6"/>
      <c r="BO50" s="9"/>
      <c r="BP50" s="9"/>
      <c r="BQ50" s="9"/>
      <c r="BR50" s="9"/>
      <c r="BS50" s="11"/>
      <c r="BT50" s="57"/>
      <c r="BU50" s="25"/>
      <c r="BV50" s="6"/>
      <c r="BW50" s="6"/>
      <c r="BX50" s="6"/>
      <c r="BY50" s="6"/>
      <c r="BZ50" s="6"/>
      <c r="CA50" s="6"/>
      <c r="CB50" s="9"/>
      <c r="CC50" s="9"/>
      <c r="CD50" s="9"/>
      <c r="CE50" s="9"/>
      <c r="CF50" s="9"/>
      <c r="CG50" s="26"/>
      <c r="CH50" s="64"/>
      <c r="CI50" s="182"/>
      <c r="CJ50" s="52"/>
      <c r="CK50" s="290"/>
      <c r="CL50" s="286"/>
      <c r="CM50" s="286"/>
      <c r="CN50" s="286"/>
      <c r="CO50" s="286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1:143" s="4" customFormat="1" ht="11.45" customHeight="1" x14ac:dyDescent="0.2">
      <c r="A51" s="182"/>
      <c r="B51" s="44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5"/>
      <c r="P51" s="57"/>
      <c r="Q51" s="12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4"/>
      <c r="AC51" s="15"/>
      <c r="AD51" s="57"/>
      <c r="AE51" s="12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27"/>
      <c r="AR51" s="57"/>
      <c r="AS51" s="12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27"/>
      <c r="BF51" s="57"/>
      <c r="BG51" s="12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5"/>
      <c r="BT51" s="57"/>
      <c r="BU51" s="12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27"/>
      <c r="CH51" s="64"/>
      <c r="CI51" s="182"/>
      <c r="CJ51" s="52"/>
      <c r="CK51" s="291"/>
      <c r="CL51" s="287"/>
      <c r="CM51" s="287"/>
      <c r="CN51" s="287"/>
      <c r="CO51" s="287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</row>
    <row r="52" spans="1:143" s="4" customFormat="1" ht="11.45" customHeight="1" x14ac:dyDescent="0.2">
      <c r="A52" s="182">
        <v>1700</v>
      </c>
      <c r="B52" s="44"/>
      <c r="C52" s="25"/>
      <c r="D52" s="6"/>
      <c r="E52" s="6"/>
      <c r="F52" s="9"/>
      <c r="G52" s="9"/>
      <c r="H52" s="9"/>
      <c r="I52" s="9"/>
      <c r="J52" s="9"/>
      <c r="K52" s="9"/>
      <c r="L52" s="9"/>
      <c r="M52" s="9"/>
      <c r="N52" s="10"/>
      <c r="O52" s="11"/>
      <c r="P52" s="57"/>
      <c r="Q52" s="5"/>
      <c r="R52" s="6"/>
      <c r="S52" s="6"/>
      <c r="T52" s="6"/>
      <c r="U52" s="6"/>
      <c r="V52" s="6"/>
      <c r="W52" s="6"/>
      <c r="X52" s="6"/>
      <c r="Y52" s="6"/>
      <c r="Z52" s="6"/>
      <c r="AA52" s="9"/>
      <c r="AB52" s="10"/>
      <c r="AC52" s="11"/>
      <c r="AD52" s="57"/>
      <c r="AE52" s="5"/>
      <c r="AF52" s="6"/>
      <c r="AG52" s="6"/>
      <c r="AH52" s="6"/>
      <c r="AI52" s="6"/>
      <c r="AJ52" s="6"/>
      <c r="AK52" s="6"/>
      <c r="AL52" s="6"/>
      <c r="AM52" s="9"/>
      <c r="AN52" s="9"/>
      <c r="AO52" s="9"/>
      <c r="AP52" s="9"/>
      <c r="AQ52" s="11"/>
      <c r="AR52" s="57"/>
      <c r="AS52" s="25"/>
      <c r="AT52" s="6"/>
      <c r="AU52" s="6"/>
      <c r="AV52" s="6"/>
      <c r="AW52" s="6"/>
      <c r="AX52" s="6"/>
      <c r="AY52" s="6"/>
      <c r="AZ52" s="9"/>
      <c r="BA52" s="9"/>
      <c r="BB52" s="9"/>
      <c r="BC52" s="9"/>
      <c r="BD52" s="9"/>
      <c r="BE52" s="11"/>
      <c r="BF52" s="57"/>
      <c r="BG52" s="25"/>
      <c r="BH52" s="6"/>
      <c r="BI52" s="6"/>
      <c r="BJ52" s="6"/>
      <c r="BK52" s="6"/>
      <c r="BL52" s="6"/>
      <c r="BM52" s="6"/>
      <c r="BN52" s="6"/>
      <c r="BO52" s="9"/>
      <c r="BP52" s="9"/>
      <c r="BQ52" s="9"/>
      <c r="BR52" s="9"/>
      <c r="BS52" s="11"/>
      <c r="BT52" s="57"/>
      <c r="BU52" s="25"/>
      <c r="BV52" s="6"/>
      <c r="BW52" s="6"/>
      <c r="BX52" s="6"/>
      <c r="BY52" s="6"/>
      <c r="BZ52" s="6"/>
      <c r="CA52" s="6"/>
      <c r="CB52" s="9"/>
      <c r="CC52" s="9"/>
      <c r="CD52" s="9"/>
      <c r="CE52" s="9"/>
      <c r="CF52" s="9"/>
      <c r="CG52" s="11"/>
      <c r="CH52" s="61"/>
      <c r="CI52" s="182">
        <v>1700</v>
      </c>
      <c r="CJ52" s="52"/>
      <c r="CK52" s="69"/>
      <c r="CL52" s="59"/>
      <c r="CM52" s="59"/>
      <c r="CN52" s="59"/>
      <c r="CO52" s="60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</row>
    <row r="53" spans="1:143" s="4" customFormat="1" ht="11.45" customHeight="1" x14ac:dyDescent="0.2">
      <c r="A53" s="182"/>
      <c r="B53" s="44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5"/>
      <c r="P53" s="57"/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4"/>
      <c r="AC53" s="15"/>
      <c r="AD53" s="57"/>
      <c r="AE53" s="12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5"/>
      <c r="AR53" s="57"/>
      <c r="AS53" s="12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5"/>
      <c r="BF53" s="57"/>
      <c r="BG53" s="12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5"/>
      <c r="BT53" s="57"/>
      <c r="BU53" s="12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5"/>
      <c r="CH53" s="61"/>
      <c r="CI53" s="182"/>
      <c r="CJ53" s="52"/>
      <c r="CK53" s="187" t="s">
        <v>50</v>
      </c>
      <c r="CL53" s="188"/>
      <c r="CM53" s="188"/>
      <c r="CN53" s="188"/>
      <c r="CO53" s="189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</row>
    <row r="54" spans="1:143" s="4" customFormat="1" ht="11.45" customHeight="1" x14ac:dyDescent="0.2">
      <c r="A54" s="182"/>
      <c r="B54" s="44"/>
      <c r="C54" s="5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  <c r="O54" s="11"/>
      <c r="P54" s="57"/>
      <c r="Q54" s="5"/>
      <c r="R54" s="9"/>
      <c r="S54" s="9"/>
      <c r="T54" s="9"/>
      <c r="U54" s="9"/>
      <c r="V54" s="9"/>
      <c r="W54" s="9"/>
      <c r="X54" s="9"/>
      <c r="Y54" s="9"/>
      <c r="Z54" s="9"/>
      <c r="AA54" s="9"/>
      <c r="AB54" s="10"/>
      <c r="AC54" s="11"/>
      <c r="AD54" s="57"/>
      <c r="AE54" s="5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11"/>
      <c r="AR54" s="57"/>
      <c r="AS54" s="5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11"/>
      <c r="BF54" s="57"/>
      <c r="BG54" s="5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11"/>
      <c r="BT54" s="57"/>
      <c r="BU54" s="25"/>
      <c r="BV54" s="6"/>
      <c r="BW54" s="6"/>
      <c r="BX54" s="6"/>
      <c r="BY54" s="6"/>
      <c r="BZ54" s="6"/>
      <c r="CA54" s="6"/>
      <c r="CB54" s="9"/>
      <c r="CC54" s="9"/>
      <c r="CD54" s="9"/>
      <c r="CE54" s="9"/>
      <c r="CF54" s="9"/>
      <c r="CG54" s="11"/>
      <c r="CH54" s="61"/>
      <c r="CI54" s="182"/>
      <c r="CJ54" s="52"/>
      <c r="CK54" s="190"/>
      <c r="CL54" s="191"/>
      <c r="CM54" s="191"/>
      <c r="CN54" s="191"/>
      <c r="CO54" s="192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1:143" s="4" customFormat="1" ht="11.45" customHeight="1" x14ac:dyDescent="0.2">
      <c r="A55" s="182"/>
      <c r="B55" s="44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5"/>
      <c r="P55" s="57"/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4"/>
      <c r="AC55" s="15"/>
      <c r="AD55" s="57"/>
      <c r="AE55" s="12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5"/>
      <c r="AR55" s="57"/>
      <c r="AS55" s="12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5"/>
      <c r="BF55" s="57"/>
      <c r="BG55" s="12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5"/>
      <c r="BT55" s="57"/>
      <c r="BU55" s="12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5"/>
      <c r="CH55" s="61"/>
      <c r="CI55" s="182"/>
      <c r="CJ55" s="52"/>
      <c r="CK55" s="193" t="s">
        <v>125</v>
      </c>
      <c r="CL55" s="194"/>
      <c r="CM55" s="194"/>
      <c r="CN55" s="194"/>
      <c r="CO55" s="195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</row>
    <row r="56" spans="1:143" s="4" customFormat="1" ht="11.45" customHeight="1" x14ac:dyDescent="0.2">
      <c r="A56" s="182">
        <v>1800</v>
      </c>
      <c r="B56" s="44"/>
      <c r="C56" s="5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1"/>
      <c r="P56" s="57"/>
      <c r="Q56" s="5"/>
      <c r="R56" s="9"/>
      <c r="S56" s="9"/>
      <c r="T56" s="9"/>
      <c r="U56" s="9"/>
      <c r="V56" s="9"/>
      <c r="W56" s="9"/>
      <c r="X56" s="9"/>
      <c r="Y56" s="9"/>
      <c r="Z56" s="9"/>
      <c r="AA56" s="10"/>
      <c r="AB56" s="10"/>
      <c r="AC56" s="11"/>
      <c r="AD56" s="57"/>
      <c r="AE56" s="5"/>
      <c r="AF56" s="9"/>
      <c r="AG56" s="9"/>
      <c r="AH56" s="9"/>
      <c r="AI56" s="9"/>
      <c r="AJ56" s="9"/>
      <c r="AK56" s="9"/>
      <c r="AL56" s="9"/>
      <c r="AM56" s="10"/>
      <c r="AN56" s="10"/>
      <c r="AO56" s="10"/>
      <c r="AP56" s="10"/>
      <c r="AQ56" s="11"/>
      <c r="AR56" s="57"/>
      <c r="AS56" s="5"/>
      <c r="AT56" s="9"/>
      <c r="AU56" s="9"/>
      <c r="AV56" s="9"/>
      <c r="AW56" s="9"/>
      <c r="AX56" s="9"/>
      <c r="AY56" s="9"/>
      <c r="AZ56" s="10"/>
      <c r="BA56" s="10"/>
      <c r="BB56" s="10"/>
      <c r="BC56" s="10"/>
      <c r="BD56" s="10"/>
      <c r="BE56" s="11"/>
      <c r="BF56" s="57"/>
      <c r="BG56" s="5"/>
      <c r="BH56" s="9"/>
      <c r="BI56" s="9"/>
      <c r="BJ56" s="9"/>
      <c r="BK56" s="9"/>
      <c r="BL56" s="9"/>
      <c r="BM56" s="9"/>
      <c r="BN56" s="9"/>
      <c r="BO56" s="10"/>
      <c r="BP56" s="10"/>
      <c r="BQ56" s="10"/>
      <c r="BR56" s="10"/>
      <c r="BS56" s="11"/>
      <c r="BT56" s="57"/>
      <c r="BU56" s="25"/>
      <c r="BV56" s="6"/>
      <c r="BW56" s="6"/>
      <c r="BX56" s="6"/>
      <c r="BY56" s="6"/>
      <c r="BZ56" s="6"/>
      <c r="CA56" s="6"/>
      <c r="CB56" s="9"/>
      <c r="CC56" s="9"/>
      <c r="CD56" s="9"/>
      <c r="CE56" s="9"/>
      <c r="CF56" s="9"/>
      <c r="CG56" s="11"/>
      <c r="CH56" s="61"/>
      <c r="CI56" s="182">
        <v>1800</v>
      </c>
      <c r="CJ56" s="52"/>
      <c r="CK56" s="196"/>
      <c r="CL56" s="197"/>
      <c r="CM56" s="197"/>
      <c r="CN56" s="197"/>
      <c r="CO56" s="198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</row>
    <row r="57" spans="1:143" s="4" customFormat="1" ht="11.45" customHeight="1" x14ac:dyDescent="0.2">
      <c r="A57" s="182"/>
      <c r="B57" s="44"/>
      <c r="C57" s="12"/>
      <c r="D57" s="13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57"/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  <c r="AC57" s="15"/>
      <c r="AD57" s="57"/>
      <c r="AE57" s="12"/>
      <c r="AF57" s="13"/>
      <c r="AG57" s="13"/>
      <c r="AH57" s="13"/>
      <c r="AI57" s="13"/>
      <c r="AJ57" s="13"/>
      <c r="AK57" s="13"/>
      <c r="AL57" s="13"/>
      <c r="AM57" s="14"/>
      <c r="AN57" s="14"/>
      <c r="AO57" s="14"/>
      <c r="AP57" s="14"/>
      <c r="AQ57" s="15"/>
      <c r="AR57" s="57"/>
      <c r="AS57" s="12"/>
      <c r="AT57" s="13"/>
      <c r="AU57" s="13"/>
      <c r="AV57" s="13"/>
      <c r="AW57" s="13"/>
      <c r="AX57" s="13"/>
      <c r="AY57" s="13"/>
      <c r="AZ57" s="14"/>
      <c r="BA57" s="14"/>
      <c r="BB57" s="14"/>
      <c r="BC57" s="14"/>
      <c r="BD57" s="14"/>
      <c r="BE57" s="15"/>
      <c r="BF57" s="57"/>
      <c r="BG57" s="12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5"/>
      <c r="BT57" s="57"/>
      <c r="BU57" s="12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5"/>
      <c r="CH57" s="61"/>
      <c r="CI57" s="182"/>
      <c r="CJ57" s="52"/>
      <c r="CK57" s="193" t="s">
        <v>55</v>
      </c>
      <c r="CL57" s="194"/>
      <c r="CM57" s="194"/>
      <c r="CN57" s="194"/>
      <c r="CO57" s="195"/>
      <c r="CP57" s="3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</row>
    <row r="58" spans="1:143" s="4" customFormat="1" ht="11.45" customHeight="1" x14ac:dyDescent="0.2">
      <c r="A58" s="182"/>
      <c r="B58" s="44"/>
      <c r="C58" s="5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1"/>
      <c r="P58" s="57"/>
      <c r="Q58" s="5"/>
      <c r="R58" s="9"/>
      <c r="S58" s="9"/>
      <c r="T58" s="9"/>
      <c r="U58" s="9"/>
      <c r="V58" s="9"/>
      <c r="W58" s="9"/>
      <c r="X58" s="9"/>
      <c r="Y58" s="9"/>
      <c r="Z58" s="9"/>
      <c r="AA58" s="10"/>
      <c r="AB58" s="10"/>
      <c r="AC58" s="11"/>
      <c r="AD58" s="57"/>
      <c r="AE58" s="5"/>
      <c r="AF58" s="9"/>
      <c r="AG58" s="9"/>
      <c r="AH58" s="9"/>
      <c r="AI58" s="9"/>
      <c r="AJ58" s="9"/>
      <c r="AK58" s="9"/>
      <c r="AL58" s="9"/>
      <c r="AM58" s="10"/>
      <c r="AN58" s="10"/>
      <c r="AO58" s="10"/>
      <c r="AP58" s="10"/>
      <c r="AQ58" s="11"/>
      <c r="AR58" s="57"/>
      <c r="AS58" s="5"/>
      <c r="AT58" s="9"/>
      <c r="AU58" s="9"/>
      <c r="AV58" s="9"/>
      <c r="AW58" s="9"/>
      <c r="AX58" s="9"/>
      <c r="AY58" s="9"/>
      <c r="AZ58" s="10"/>
      <c r="BA58" s="10"/>
      <c r="BB58" s="10"/>
      <c r="BC58" s="10"/>
      <c r="BD58" s="10"/>
      <c r="BE58" s="11"/>
      <c r="BF58" s="57"/>
      <c r="BG58" s="5"/>
      <c r="BH58" s="9"/>
      <c r="BI58" s="9"/>
      <c r="BJ58" s="9"/>
      <c r="BK58" s="9"/>
      <c r="BL58" s="9"/>
      <c r="BM58" s="9"/>
      <c r="BN58" s="9"/>
      <c r="BO58" s="10"/>
      <c r="BP58" s="10"/>
      <c r="BQ58" s="10"/>
      <c r="BR58" s="10"/>
      <c r="BS58" s="11"/>
      <c r="BT58" s="57"/>
      <c r="BU58" s="25"/>
      <c r="BV58" s="6"/>
      <c r="BW58" s="6"/>
      <c r="BX58" s="6"/>
      <c r="BY58" s="6"/>
      <c r="BZ58" s="6"/>
      <c r="CA58" s="6"/>
      <c r="CB58" s="9"/>
      <c r="CC58" s="9"/>
      <c r="CD58" s="9"/>
      <c r="CE58" s="9"/>
      <c r="CF58" s="9"/>
      <c r="CG58" s="11"/>
      <c r="CH58" s="61"/>
      <c r="CI58" s="182"/>
      <c r="CJ58" s="52"/>
      <c r="CK58" s="196"/>
      <c r="CL58" s="197"/>
      <c r="CM58" s="197"/>
      <c r="CN58" s="197"/>
      <c r="CO58" s="198"/>
      <c r="CP58" s="3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</row>
    <row r="59" spans="1:143" s="4" customFormat="1" ht="11.45" customHeight="1" x14ac:dyDescent="0.2">
      <c r="A59" s="182"/>
      <c r="B59" s="44"/>
      <c r="C59" s="12"/>
      <c r="D59" s="13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57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  <c r="AC59" s="15"/>
      <c r="AD59" s="57"/>
      <c r="AE59" s="12"/>
      <c r="AF59" s="13"/>
      <c r="AG59" s="13"/>
      <c r="AH59" s="13"/>
      <c r="AI59" s="13"/>
      <c r="AJ59" s="13"/>
      <c r="AK59" s="13"/>
      <c r="AL59" s="13"/>
      <c r="AM59" s="14"/>
      <c r="AN59" s="14"/>
      <c r="AO59" s="14"/>
      <c r="AP59" s="14"/>
      <c r="AQ59" s="15"/>
      <c r="AR59" s="57"/>
      <c r="AS59" s="12"/>
      <c r="AT59" s="13"/>
      <c r="AU59" s="13"/>
      <c r="AV59" s="13"/>
      <c r="AW59" s="13"/>
      <c r="AX59" s="13"/>
      <c r="AY59" s="13"/>
      <c r="AZ59" s="14"/>
      <c r="BA59" s="14"/>
      <c r="BB59" s="14"/>
      <c r="BC59" s="14"/>
      <c r="BD59" s="14"/>
      <c r="BE59" s="15"/>
      <c r="BF59" s="57"/>
      <c r="BG59" s="12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5"/>
      <c r="BT59" s="57"/>
      <c r="BU59" s="12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5"/>
      <c r="CH59" s="61"/>
      <c r="CI59" s="182"/>
      <c r="CJ59" s="52"/>
      <c r="CK59" s="193" t="s">
        <v>111</v>
      </c>
      <c r="CL59" s="194"/>
      <c r="CM59" s="194"/>
      <c r="CN59" s="194"/>
      <c r="CO59" s="195"/>
      <c r="CP59" s="3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</row>
    <row r="60" spans="1:143" s="4" customFormat="1" ht="11.45" customHeight="1" x14ac:dyDescent="0.2">
      <c r="A60" s="182">
        <v>1900</v>
      </c>
      <c r="B60" s="44"/>
      <c r="C60" s="5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1"/>
      <c r="P60" s="57"/>
      <c r="Q60" s="5"/>
      <c r="R60" s="9"/>
      <c r="S60" s="9"/>
      <c r="T60" s="9"/>
      <c r="U60" s="9"/>
      <c r="V60" s="9"/>
      <c r="W60" s="9"/>
      <c r="X60" s="9"/>
      <c r="Y60" s="9"/>
      <c r="Z60" s="9"/>
      <c r="AA60" s="10"/>
      <c r="AB60" s="10"/>
      <c r="AC60" s="11"/>
      <c r="AD60" s="57"/>
      <c r="AE60" s="5"/>
      <c r="AF60" s="9"/>
      <c r="AG60" s="9"/>
      <c r="AH60" s="9"/>
      <c r="AI60" s="9"/>
      <c r="AJ60" s="9"/>
      <c r="AK60" s="9"/>
      <c r="AL60" s="9"/>
      <c r="AM60" s="10"/>
      <c r="AN60" s="10"/>
      <c r="AO60" s="10"/>
      <c r="AP60" s="10"/>
      <c r="AQ60" s="11"/>
      <c r="AR60" s="57"/>
      <c r="AS60" s="5"/>
      <c r="AT60" s="9"/>
      <c r="AU60" s="9"/>
      <c r="AV60" s="9"/>
      <c r="AW60" s="9"/>
      <c r="AX60" s="9"/>
      <c r="AY60" s="9"/>
      <c r="AZ60" s="10"/>
      <c r="BA60" s="10"/>
      <c r="BB60" s="10"/>
      <c r="BC60" s="10"/>
      <c r="BD60" s="10"/>
      <c r="BE60" s="11"/>
      <c r="BF60" s="57"/>
      <c r="BG60" s="5"/>
      <c r="BH60" s="9"/>
      <c r="BI60" s="9"/>
      <c r="BJ60" s="9"/>
      <c r="BK60" s="9"/>
      <c r="BL60" s="9"/>
      <c r="BM60" s="9"/>
      <c r="BN60" s="9"/>
      <c r="BO60" s="10"/>
      <c r="BP60" s="10"/>
      <c r="BQ60" s="10"/>
      <c r="BR60" s="10"/>
      <c r="BS60" s="11"/>
      <c r="BT60" s="57"/>
      <c r="BU60" s="25"/>
      <c r="BV60" s="6"/>
      <c r="BW60" s="6"/>
      <c r="BX60" s="6"/>
      <c r="BY60" s="6"/>
      <c r="BZ60" s="6"/>
      <c r="CA60" s="6"/>
      <c r="CB60" s="9"/>
      <c r="CC60" s="9"/>
      <c r="CD60" s="9"/>
      <c r="CE60" s="9"/>
      <c r="CF60" s="9"/>
      <c r="CG60" s="11"/>
      <c r="CH60" s="61"/>
      <c r="CI60" s="182">
        <v>1900</v>
      </c>
      <c r="CJ60" s="52"/>
      <c r="CK60" s="196"/>
      <c r="CL60" s="197"/>
      <c r="CM60" s="197"/>
      <c r="CN60" s="197"/>
      <c r="CO60" s="198"/>
      <c r="CP60" s="3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</row>
    <row r="61" spans="1:143" s="4" customFormat="1" ht="11.45" customHeight="1" x14ac:dyDescent="0.2">
      <c r="A61" s="182"/>
      <c r="B61" s="44"/>
      <c r="C61" s="12"/>
      <c r="D61" s="13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57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  <c r="AC61" s="15"/>
      <c r="AD61" s="57"/>
      <c r="AE61" s="12"/>
      <c r="AF61" s="13"/>
      <c r="AG61" s="13"/>
      <c r="AH61" s="13"/>
      <c r="AI61" s="13"/>
      <c r="AJ61" s="13"/>
      <c r="AK61" s="13"/>
      <c r="AL61" s="13"/>
      <c r="AM61" s="14"/>
      <c r="AN61" s="14"/>
      <c r="AO61" s="14"/>
      <c r="AP61" s="14"/>
      <c r="AQ61" s="15"/>
      <c r="AR61" s="57"/>
      <c r="AS61" s="12"/>
      <c r="AT61" s="13"/>
      <c r="AU61" s="13"/>
      <c r="AV61" s="13"/>
      <c r="AW61" s="13"/>
      <c r="AX61" s="13"/>
      <c r="AY61" s="13"/>
      <c r="AZ61" s="14"/>
      <c r="BA61" s="14"/>
      <c r="BB61" s="14"/>
      <c r="BC61" s="14"/>
      <c r="BD61" s="14"/>
      <c r="BE61" s="15"/>
      <c r="BF61" s="57"/>
      <c r="BG61" s="12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5"/>
      <c r="BT61" s="57"/>
      <c r="BU61" s="12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5"/>
      <c r="CH61" s="61"/>
      <c r="CI61" s="182"/>
      <c r="CJ61" s="52"/>
      <c r="CK61" s="193" t="s">
        <v>97</v>
      </c>
      <c r="CL61" s="194"/>
      <c r="CM61" s="194"/>
      <c r="CN61" s="194"/>
      <c r="CO61" s="195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1:143" s="4" customFormat="1" ht="11.45" customHeight="1" x14ac:dyDescent="0.2">
      <c r="A62" s="182"/>
      <c r="B62" s="44"/>
      <c r="C62" s="5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1"/>
      <c r="P62" s="57"/>
      <c r="Q62" s="5"/>
      <c r="R62" s="9"/>
      <c r="S62" s="9"/>
      <c r="T62" s="9"/>
      <c r="U62" s="9"/>
      <c r="V62" s="9"/>
      <c r="W62" s="9"/>
      <c r="X62" s="9"/>
      <c r="Y62" s="9"/>
      <c r="Z62" s="9"/>
      <c r="AA62" s="10"/>
      <c r="AB62" s="10"/>
      <c r="AC62" s="11"/>
      <c r="AD62" s="57"/>
      <c r="AE62" s="5"/>
      <c r="AF62" s="9"/>
      <c r="AG62" s="9"/>
      <c r="AH62" s="9"/>
      <c r="AI62" s="9"/>
      <c r="AJ62" s="9"/>
      <c r="AK62" s="9"/>
      <c r="AL62" s="9"/>
      <c r="AM62" s="10"/>
      <c r="AN62" s="10"/>
      <c r="AO62" s="10"/>
      <c r="AP62" s="10"/>
      <c r="AQ62" s="11"/>
      <c r="AR62" s="57"/>
      <c r="AS62" s="5"/>
      <c r="AT62" s="9"/>
      <c r="AU62" s="9"/>
      <c r="AV62" s="9"/>
      <c r="AW62" s="9"/>
      <c r="AX62" s="9"/>
      <c r="AY62" s="9"/>
      <c r="AZ62" s="10"/>
      <c r="BA62" s="10"/>
      <c r="BB62" s="10"/>
      <c r="BC62" s="10"/>
      <c r="BD62" s="10"/>
      <c r="BE62" s="11"/>
      <c r="BF62" s="57"/>
      <c r="BG62" s="5"/>
      <c r="BH62" s="9"/>
      <c r="BI62" s="9"/>
      <c r="BJ62" s="9"/>
      <c r="BK62" s="9"/>
      <c r="BL62" s="9"/>
      <c r="BM62" s="9"/>
      <c r="BN62" s="9"/>
      <c r="BO62" s="10"/>
      <c r="BP62" s="10"/>
      <c r="BQ62" s="10"/>
      <c r="BR62" s="10"/>
      <c r="BS62" s="11"/>
      <c r="BT62" s="57"/>
      <c r="BU62" s="25"/>
      <c r="BV62" s="6"/>
      <c r="BW62" s="6"/>
      <c r="BX62" s="6"/>
      <c r="BY62" s="6"/>
      <c r="BZ62" s="6"/>
      <c r="CA62" s="6"/>
      <c r="CB62" s="9"/>
      <c r="CC62" s="9"/>
      <c r="CD62" s="9"/>
      <c r="CE62" s="9"/>
      <c r="CF62" s="9"/>
      <c r="CG62" s="11"/>
      <c r="CH62" s="61"/>
      <c r="CI62" s="182"/>
      <c r="CJ62" s="52"/>
      <c r="CK62" s="196"/>
      <c r="CL62" s="197"/>
      <c r="CM62" s="197"/>
      <c r="CN62" s="197"/>
      <c r="CO62" s="198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</row>
    <row r="63" spans="1:143" s="4" customFormat="1" ht="11.45" customHeight="1" x14ac:dyDescent="0.2">
      <c r="A63" s="182"/>
      <c r="B63" s="44"/>
      <c r="C63" s="12"/>
      <c r="D63" s="13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57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  <c r="AC63" s="15"/>
      <c r="AD63" s="57"/>
      <c r="AE63" s="12"/>
      <c r="AF63" s="13"/>
      <c r="AG63" s="13"/>
      <c r="AH63" s="13"/>
      <c r="AI63" s="13"/>
      <c r="AJ63" s="13"/>
      <c r="AK63" s="13"/>
      <c r="AL63" s="13"/>
      <c r="AM63" s="14"/>
      <c r="AN63" s="14"/>
      <c r="AO63" s="14"/>
      <c r="AP63" s="14"/>
      <c r="AQ63" s="15"/>
      <c r="AR63" s="57"/>
      <c r="AS63" s="12"/>
      <c r="AT63" s="13"/>
      <c r="AU63" s="13"/>
      <c r="AV63" s="13"/>
      <c r="AW63" s="13"/>
      <c r="AX63" s="13"/>
      <c r="AY63" s="13"/>
      <c r="AZ63" s="14"/>
      <c r="BA63" s="14"/>
      <c r="BB63" s="14"/>
      <c r="BC63" s="14"/>
      <c r="BD63" s="14"/>
      <c r="BE63" s="15"/>
      <c r="BF63" s="57"/>
      <c r="BG63" s="12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5"/>
      <c r="BT63" s="57"/>
      <c r="BU63" s="12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5"/>
      <c r="CH63" s="61"/>
      <c r="CI63" s="182"/>
      <c r="CJ63" s="52"/>
      <c r="CK63" s="193" t="s">
        <v>98</v>
      </c>
      <c r="CL63" s="194"/>
      <c r="CM63" s="194"/>
      <c r="CN63" s="194"/>
      <c r="CO63" s="195"/>
      <c r="CP63" s="3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</row>
    <row r="64" spans="1:143" s="4" customFormat="1" ht="11.45" customHeight="1" x14ac:dyDescent="0.2">
      <c r="A64" s="182">
        <v>2000</v>
      </c>
      <c r="B64" s="44"/>
      <c r="C64" s="5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57"/>
      <c r="Q64" s="5"/>
      <c r="R64" s="9"/>
      <c r="S64" s="9"/>
      <c r="T64" s="9"/>
      <c r="U64" s="9"/>
      <c r="V64" s="9"/>
      <c r="W64" s="9"/>
      <c r="X64" s="9"/>
      <c r="Y64" s="9"/>
      <c r="Z64" s="9"/>
      <c r="AA64" s="10"/>
      <c r="AB64" s="10"/>
      <c r="AC64" s="11"/>
      <c r="AD64" s="57"/>
      <c r="AE64" s="5"/>
      <c r="AF64" s="9"/>
      <c r="AG64" s="9"/>
      <c r="AH64" s="9"/>
      <c r="AI64" s="9"/>
      <c r="AJ64" s="9"/>
      <c r="AK64" s="9"/>
      <c r="AL64" s="9"/>
      <c r="AM64" s="10"/>
      <c r="AN64" s="10"/>
      <c r="AO64" s="10"/>
      <c r="AP64" s="10"/>
      <c r="AQ64" s="11"/>
      <c r="AR64" s="57"/>
      <c r="AS64" s="5"/>
      <c r="AT64" s="9"/>
      <c r="AU64" s="9"/>
      <c r="AV64" s="9"/>
      <c r="AW64" s="9"/>
      <c r="AX64" s="9"/>
      <c r="AY64" s="9"/>
      <c r="AZ64" s="10"/>
      <c r="BA64" s="10"/>
      <c r="BB64" s="10"/>
      <c r="BC64" s="10"/>
      <c r="BD64" s="10"/>
      <c r="BE64" s="11"/>
      <c r="BF64" s="57"/>
      <c r="BG64" s="5"/>
      <c r="BH64" s="9"/>
      <c r="BI64" s="9"/>
      <c r="BJ64" s="9"/>
      <c r="BK64" s="9"/>
      <c r="BL64" s="9"/>
      <c r="BM64" s="9"/>
      <c r="BN64" s="9"/>
      <c r="BO64" s="10"/>
      <c r="BP64" s="10"/>
      <c r="BQ64" s="10"/>
      <c r="BR64" s="10"/>
      <c r="BS64" s="11"/>
      <c r="BT64" s="57"/>
      <c r="BU64" s="25"/>
      <c r="BV64" s="6"/>
      <c r="BW64" s="6"/>
      <c r="BX64" s="6"/>
      <c r="BY64" s="6"/>
      <c r="BZ64" s="6"/>
      <c r="CA64" s="6"/>
      <c r="CB64" s="9"/>
      <c r="CC64" s="9"/>
      <c r="CD64" s="9"/>
      <c r="CE64" s="9"/>
      <c r="CF64" s="9"/>
      <c r="CG64" s="11"/>
      <c r="CH64" s="61"/>
      <c r="CI64" s="182">
        <v>2000</v>
      </c>
      <c r="CJ64" s="52"/>
      <c r="CK64" s="196"/>
      <c r="CL64" s="197"/>
      <c r="CM64" s="197"/>
      <c r="CN64" s="197"/>
      <c r="CO64" s="198"/>
      <c r="CP64" s="3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</row>
    <row r="65" spans="1:143" s="4" customFormat="1" ht="11.45" customHeight="1" x14ac:dyDescent="0.2">
      <c r="A65" s="182"/>
      <c r="B65" s="44"/>
      <c r="C65" s="12"/>
      <c r="D65" s="13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57"/>
      <c r="Q65" s="12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  <c r="AC65" s="15"/>
      <c r="AD65" s="57"/>
      <c r="AE65" s="12"/>
      <c r="AF65" s="13"/>
      <c r="AG65" s="13"/>
      <c r="AH65" s="13"/>
      <c r="AI65" s="13"/>
      <c r="AJ65" s="13"/>
      <c r="AK65" s="13"/>
      <c r="AL65" s="13"/>
      <c r="AM65" s="14"/>
      <c r="AN65" s="14"/>
      <c r="AO65" s="14"/>
      <c r="AP65" s="14"/>
      <c r="AQ65" s="15"/>
      <c r="AR65" s="57"/>
      <c r="AS65" s="12"/>
      <c r="AT65" s="13"/>
      <c r="AU65" s="13"/>
      <c r="AV65" s="13"/>
      <c r="AW65" s="13"/>
      <c r="AX65" s="13"/>
      <c r="AY65" s="13"/>
      <c r="AZ65" s="14"/>
      <c r="BA65" s="14"/>
      <c r="BB65" s="14"/>
      <c r="BC65" s="14"/>
      <c r="BD65" s="14"/>
      <c r="BE65" s="15"/>
      <c r="BF65" s="57"/>
      <c r="BG65" s="12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5"/>
      <c r="BT65" s="57"/>
      <c r="BU65" s="12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5"/>
      <c r="CH65" s="61"/>
      <c r="CI65" s="182"/>
      <c r="CJ65" s="52"/>
      <c r="CK65" s="193" t="s">
        <v>54</v>
      </c>
      <c r="CL65" s="194"/>
      <c r="CM65" s="194"/>
      <c r="CN65" s="194"/>
      <c r="CO65" s="195"/>
      <c r="CP65" s="3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</row>
    <row r="66" spans="1:143" s="4" customFormat="1" ht="11.45" customHeight="1" x14ac:dyDescent="0.2">
      <c r="A66" s="182"/>
      <c r="B66" s="44"/>
      <c r="C66" s="5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1"/>
      <c r="P66" s="57"/>
      <c r="Q66" s="5"/>
      <c r="R66" s="9"/>
      <c r="S66" s="9"/>
      <c r="T66" s="9"/>
      <c r="U66" s="9"/>
      <c r="V66" s="9"/>
      <c r="W66" s="9"/>
      <c r="X66" s="9"/>
      <c r="Y66" s="9"/>
      <c r="Z66" s="9"/>
      <c r="AA66" s="10"/>
      <c r="AB66" s="10"/>
      <c r="AC66" s="11"/>
      <c r="AD66" s="57"/>
      <c r="AE66" s="5"/>
      <c r="AF66" s="9"/>
      <c r="AG66" s="9"/>
      <c r="AH66" s="9"/>
      <c r="AI66" s="9"/>
      <c r="AJ66" s="9"/>
      <c r="AK66" s="9"/>
      <c r="AL66" s="9"/>
      <c r="AM66" s="10"/>
      <c r="AN66" s="10"/>
      <c r="AO66" s="10"/>
      <c r="AP66" s="10"/>
      <c r="AQ66" s="11"/>
      <c r="AR66" s="57"/>
      <c r="AS66" s="5"/>
      <c r="AT66" s="9"/>
      <c r="AU66" s="9"/>
      <c r="AV66" s="9"/>
      <c r="AW66" s="9"/>
      <c r="AX66" s="9"/>
      <c r="AY66" s="9"/>
      <c r="AZ66" s="10"/>
      <c r="BA66" s="10"/>
      <c r="BB66" s="10"/>
      <c r="BC66" s="10"/>
      <c r="BD66" s="10"/>
      <c r="BE66" s="11"/>
      <c r="BF66" s="57"/>
      <c r="BG66" s="5"/>
      <c r="BH66" s="9"/>
      <c r="BI66" s="9"/>
      <c r="BJ66" s="9"/>
      <c r="BK66" s="9"/>
      <c r="BL66" s="9"/>
      <c r="BM66" s="9"/>
      <c r="BN66" s="9"/>
      <c r="BO66" s="10"/>
      <c r="BP66" s="10"/>
      <c r="BQ66" s="10"/>
      <c r="BR66" s="10"/>
      <c r="BS66" s="11"/>
      <c r="BT66" s="57"/>
      <c r="BU66" s="25"/>
      <c r="BV66" s="6"/>
      <c r="BW66" s="6"/>
      <c r="BX66" s="6"/>
      <c r="BY66" s="6"/>
      <c r="BZ66" s="6"/>
      <c r="CA66" s="6"/>
      <c r="CB66" s="9"/>
      <c r="CC66" s="9"/>
      <c r="CD66" s="9"/>
      <c r="CE66" s="9"/>
      <c r="CF66" s="9"/>
      <c r="CG66" s="11"/>
      <c r="CH66" s="61"/>
      <c r="CI66" s="182"/>
      <c r="CJ66" s="52"/>
      <c r="CK66" s="196"/>
      <c r="CL66" s="197"/>
      <c r="CM66" s="197"/>
      <c r="CN66" s="197"/>
      <c r="CO66" s="198"/>
      <c r="CP66" s="3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</row>
    <row r="67" spans="1:143" s="4" customFormat="1" ht="11.45" customHeight="1" x14ac:dyDescent="0.2">
      <c r="A67" s="182"/>
      <c r="B67" s="44"/>
      <c r="C67" s="12"/>
      <c r="D67" s="13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57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  <c r="AC67" s="15"/>
      <c r="AD67" s="57"/>
      <c r="AE67" s="12"/>
      <c r="AF67" s="13"/>
      <c r="AG67" s="13"/>
      <c r="AH67" s="13"/>
      <c r="AI67" s="13"/>
      <c r="AJ67" s="13"/>
      <c r="AK67" s="13"/>
      <c r="AL67" s="13"/>
      <c r="AM67" s="14"/>
      <c r="AN67" s="14"/>
      <c r="AO67" s="14"/>
      <c r="AP67" s="14"/>
      <c r="AQ67" s="15"/>
      <c r="AR67" s="57"/>
      <c r="AS67" s="12"/>
      <c r="AT67" s="13"/>
      <c r="AU67" s="13"/>
      <c r="AV67" s="13"/>
      <c r="AW67" s="13"/>
      <c r="AX67" s="13"/>
      <c r="AY67" s="13"/>
      <c r="AZ67" s="14"/>
      <c r="BA67" s="14"/>
      <c r="BB67" s="14"/>
      <c r="BC67" s="14"/>
      <c r="BD67" s="14"/>
      <c r="BE67" s="15"/>
      <c r="BF67" s="57"/>
      <c r="BG67" s="12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5"/>
      <c r="BT67" s="57"/>
      <c r="BU67" s="12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5"/>
      <c r="CH67" s="61"/>
      <c r="CI67" s="182"/>
      <c r="CJ67" s="52"/>
      <c r="CK67" s="193" t="s">
        <v>105</v>
      </c>
      <c r="CL67" s="194"/>
      <c r="CM67" s="194"/>
      <c r="CN67" s="194"/>
      <c r="CO67" s="195"/>
      <c r="CP67" s="36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</row>
    <row r="68" spans="1:143" s="4" customFormat="1" ht="11.45" customHeight="1" x14ac:dyDescent="0.2">
      <c r="A68" s="182">
        <v>2100</v>
      </c>
      <c r="B68" s="44"/>
      <c r="C68" s="5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1"/>
      <c r="P68" s="57"/>
      <c r="Q68" s="5"/>
      <c r="R68" s="9"/>
      <c r="S68" s="9"/>
      <c r="T68" s="9"/>
      <c r="U68" s="9"/>
      <c r="V68" s="9"/>
      <c r="W68" s="9"/>
      <c r="X68" s="9"/>
      <c r="Y68" s="9"/>
      <c r="Z68" s="9"/>
      <c r="AA68" s="10"/>
      <c r="AB68" s="10"/>
      <c r="AC68" s="11"/>
      <c r="AD68" s="57"/>
      <c r="AE68" s="5"/>
      <c r="AF68" s="9"/>
      <c r="AG68" s="9"/>
      <c r="AH68" s="9"/>
      <c r="AI68" s="9"/>
      <c r="AJ68" s="9"/>
      <c r="AK68" s="9"/>
      <c r="AL68" s="9"/>
      <c r="AM68" s="10"/>
      <c r="AN68" s="10"/>
      <c r="AO68" s="10"/>
      <c r="AP68" s="10"/>
      <c r="AQ68" s="11"/>
      <c r="AR68" s="57"/>
      <c r="AS68" s="5"/>
      <c r="AT68" s="9"/>
      <c r="AU68" s="9"/>
      <c r="AV68" s="9"/>
      <c r="AW68" s="9"/>
      <c r="AX68" s="9"/>
      <c r="AY68" s="9"/>
      <c r="AZ68" s="10"/>
      <c r="BA68" s="10"/>
      <c r="BB68" s="10"/>
      <c r="BC68" s="10"/>
      <c r="BD68" s="10"/>
      <c r="BE68" s="11"/>
      <c r="BF68" s="57"/>
      <c r="BG68" s="5"/>
      <c r="BH68" s="9"/>
      <c r="BI68" s="9"/>
      <c r="BJ68" s="9"/>
      <c r="BK68" s="9"/>
      <c r="BL68" s="9"/>
      <c r="BM68" s="9"/>
      <c r="BN68" s="9"/>
      <c r="BO68" s="10"/>
      <c r="BP68" s="10"/>
      <c r="BQ68" s="10"/>
      <c r="BR68" s="10"/>
      <c r="BS68" s="11"/>
      <c r="BT68" s="57"/>
      <c r="BU68" s="25"/>
      <c r="BV68" s="6"/>
      <c r="BW68" s="6"/>
      <c r="BX68" s="6"/>
      <c r="BY68" s="6"/>
      <c r="BZ68" s="6"/>
      <c r="CA68" s="6"/>
      <c r="CB68" s="9"/>
      <c r="CC68" s="9"/>
      <c r="CD68" s="9"/>
      <c r="CE68" s="9"/>
      <c r="CF68" s="9"/>
      <c r="CG68" s="11"/>
      <c r="CH68" s="61"/>
      <c r="CI68" s="182">
        <v>2100</v>
      </c>
      <c r="CJ68" s="52"/>
      <c r="CK68" s="196"/>
      <c r="CL68" s="197"/>
      <c r="CM68" s="197"/>
      <c r="CN68" s="197"/>
      <c r="CO68" s="198"/>
      <c r="CP68" s="36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1:143" s="4" customFormat="1" ht="11.45" customHeight="1" x14ac:dyDescent="0.2">
      <c r="A69" s="182"/>
      <c r="B69" s="44"/>
      <c r="C69" s="12"/>
      <c r="D69" s="13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5"/>
      <c r="P69" s="57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  <c r="AC69" s="15"/>
      <c r="AD69" s="57"/>
      <c r="AE69" s="12"/>
      <c r="AF69" s="13"/>
      <c r="AG69" s="13"/>
      <c r="AH69" s="13"/>
      <c r="AI69" s="13"/>
      <c r="AJ69" s="13"/>
      <c r="AK69" s="13"/>
      <c r="AL69" s="13"/>
      <c r="AM69" s="14"/>
      <c r="AN69" s="14"/>
      <c r="AO69" s="14"/>
      <c r="AP69" s="14"/>
      <c r="AQ69" s="15"/>
      <c r="AR69" s="57"/>
      <c r="AS69" s="12"/>
      <c r="AT69" s="13"/>
      <c r="AU69" s="13"/>
      <c r="AV69" s="13"/>
      <c r="AW69" s="13"/>
      <c r="AX69" s="13"/>
      <c r="AY69" s="13"/>
      <c r="AZ69" s="14"/>
      <c r="BA69" s="14"/>
      <c r="BB69" s="14"/>
      <c r="BC69" s="14"/>
      <c r="BD69" s="14"/>
      <c r="BE69" s="15"/>
      <c r="BF69" s="57"/>
      <c r="BG69" s="12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5"/>
      <c r="BT69" s="57"/>
      <c r="BU69" s="12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5"/>
      <c r="CH69" s="61"/>
      <c r="CI69" s="182"/>
      <c r="CJ69" s="52"/>
      <c r="CK69" s="193" t="s">
        <v>57</v>
      </c>
      <c r="CL69" s="194"/>
      <c r="CM69" s="194"/>
      <c r="CN69" s="194"/>
      <c r="CO69" s="195"/>
      <c r="CP69" s="34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</row>
    <row r="70" spans="1:143" s="4" customFormat="1" ht="11.45" customHeight="1" x14ac:dyDescent="0.2">
      <c r="A70" s="182"/>
      <c r="B70" s="44"/>
      <c r="C70" s="5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1"/>
      <c r="P70" s="57"/>
      <c r="Q70" s="5"/>
      <c r="R70" s="9"/>
      <c r="S70" s="9"/>
      <c r="T70" s="9"/>
      <c r="U70" s="9"/>
      <c r="V70" s="9"/>
      <c r="W70" s="9"/>
      <c r="X70" s="9"/>
      <c r="Y70" s="9"/>
      <c r="Z70" s="9"/>
      <c r="AA70" s="10"/>
      <c r="AB70" s="10"/>
      <c r="AC70" s="11"/>
      <c r="AD70" s="57"/>
      <c r="AE70" s="5"/>
      <c r="AF70" s="9"/>
      <c r="AG70" s="9"/>
      <c r="AH70" s="9"/>
      <c r="AI70" s="9"/>
      <c r="AJ70" s="9"/>
      <c r="AK70" s="9"/>
      <c r="AL70" s="9"/>
      <c r="AM70" s="10"/>
      <c r="AN70" s="10"/>
      <c r="AO70" s="10"/>
      <c r="AP70" s="10"/>
      <c r="AQ70" s="11"/>
      <c r="AR70" s="57"/>
      <c r="AS70" s="5"/>
      <c r="AT70" s="9"/>
      <c r="AU70" s="9"/>
      <c r="AV70" s="9"/>
      <c r="AW70" s="9"/>
      <c r="AX70" s="9"/>
      <c r="AY70" s="9"/>
      <c r="AZ70" s="10"/>
      <c r="BA70" s="10"/>
      <c r="BB70" s="10"/>
      <c r="BC70" s="10"/>
      <c r="BD70" s="10"/>
      <c r="BE70" s="11"/>
      <c r="BF70" s="57"/>
      <c r="BG70" s="5"/>
      <c r="BH70" s="9"/>
      <c r="BI70" s="9"/>
      <c r="BJ70" s="9"/>
      <c r="BK70" s="9"/>
      <c r="BL70" s="9"/>
      <c r="BM70" s="9"/>
      <c r="BN70" s="9"/>
      <c r="BO70" s="10"/>
      <c r="BP70" s="10"/>
      <c r="BQ70" s="10"/>
      <c r="BR70" s="10"/>
      <c r="BS70" s="11"/>
      <c r="BT70" s="57"/>
      <c r="BU70" s="25"/>
      <c r="BV70" s="6"/>
      <c r="BW70" s="6"/>
      <c r="BX70" s="6"/>
      <c r="BY70" s="6"/>
      <c r="BZ70" s="6"/>
      <c r="CA70" s="6"/>
      <c r="CB70" s="9"/>
      <c r="CC70" s="9"/>
      <c r="CD70" s="9"/>
      <c r="CE70" s="9"/>
      <c r="CF70" s="9"/>
      <c r="CG70" s="11"/>
      <c r="CH70" s="61"/>
      <c r="CI70" s="182"/>
      <c r="CJ70" s="52"/>
      <c r="CK70" s="196"/>
      <c r="CL70" s="197"/>
      <c r="CM70" s="197"/>
      <c r="CN70" s="197"/>
      <c r="CO70" s="198"/>
      <c r="CP70" s="34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</row>
    <row r="71" spans="1:143" s="4" customFormat="1" ht="11.45" customHeight="1" x14ac:dyDescent="0.2">
      <c r="A71" s="182"/>
      <c r="B71" s="44"/>
      <c r="C71" s="12"/>
      <c r="D71" s="13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57"/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  <c r="AC71" s="15"/>
      <c r="AD71" s="57"/>
      <c r="AE71" s="12"/>
      <c r="AF71" s="13"/>
      <c r="AG71" s="13"/>
      <c r="AH71" s="13"/>
      <c r="AI71" s="13"/>
      <c r="AJ71" s="13"/>
      <c r="AK71" s="13"/>
      <c r="AL71" s="13"/>
      <c r="AM71" s="14"/>
      <c r="AN71" s="14"/>
      <c r="AO71" s="14"/>
      <c r="AP71" s="14"/>
      <c r="AQ71" s="15"/>
      <c r="AR71" s="57"/>
      <c r="AS71" s="12"/>
      <c r="AT71" s="13"/>
      <c r="AU71" s="13"/>
      <c r="AV71" s="13"/>
      <c r="AW71" s="13"/>
      <c r="AX71" s="13"/>
      <c r="AY71" s="13"/>
      <c r="AZ71" s="14"/>
      <c r="BA71" s="14"/>
      <c r="BB71" s="14"/>
      <c r="BC71" s="14"/>
      <c r="BD71" s="14"/>
      <c r="BE71" s="15"/>
      <c r="BF71" s="57"/>
      <c r="BG71" s="12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5"/>
      <c r="BT71" s="57"/>
      <c r="BU71" s="12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5"/>
      <c r="CH71" s="61"/>
      <c r="CI71" s="182"/>
      <c r="CJ71" s="52"/>
      <c r="CK71" s="193" t="s">
        <v>79</v>
      </c>
      <c r="CL71" s="194"/>
      <c r="CM71" s="194"/>
      <c r="CN71" s="194"/>
      <c r="CO71" s="195"/>
      <c r="CP71" s="34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</row>
    <row r="72" spans="1:143" s="4" customFormat="1" ht="11.45" customHeight="1" x14ac:dyDescent="0.2">
      <c r="A72" s="182">
        <v>2200</v>
      </c>
      <c r="B72" s="44"/>
      <c r="C72" s="5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1"/>
      <c r="P72" s="57"/>
      <c r="Q72" s="5"/>
      <c r="R72" s="9"/>
      <c r="S72" s="9"/>
      <c r="T72" s="9"/>
      <c r="U72" s="9"/>
      <c r="V72" s="9"/>
      <c r="W72" s="9"/>
      <c r="X72" s="9"/>
      <c r="Y72" s="9"/>
      <c r="Z72" s="9"/>
      <c r="AA72" s="10"/>
      <c r="AB72" s="10"/>
      <c r="AC72" s="11"/>
      <c r="AD72" s="57"/>
      <c r="AE72" s="5"/>
      <c r="AF72" s="9"/>
      <c r="AG72" s="9"/>
      <c r="AH72" s="9"/>
      <c r="AI72" s="9"/>
      <c r="AJ72" s="9"/>
      <c r="AK72" s="9"/>
      <c r="AL72" s="9"/>
      <c r="AM72" s="10"/>
      <c r="AN72" s="10"/>
      <c r="AO72" s="10"/>
      <c r="AP72" s="10"/>
      <c r="AQ72" s="11"/>
      <c r="AR72" s="57"/>
      <c r="AS72" s="5"/>
      <c r="AT72" s="9"/>
      <c r="AU72" s="9"/>
      <c r="AV72" s="9"/>
      <c r="AW72" s="9"/>
      <c r="AX72" s="9"/>
      <c r="AY72" s="9"/>
      <c r="AZ72" s="10"/>
      <c r="BA72" s="10"/>
      <c r="BB72" s="10"/>
      <c r="BC72" s="10"/>
      <c r="BD72" s="10"/>
      <c r="BE72" s="11"/>
      <c r="BF72" s="57"/>
      <c r="BG72" s="5"/>
      <c r="BH72" s="9"/>
      <c r="BI72" s="9"/>
      <c r="BJ72" s="9"/>
      <c r="BK72" s="9"/>
      <c r="BL72" s="9"/>
      <c r="BM72" s="9"/>
      <c r="BN72" s="9"/>
      <c r="BO72" s="10"/>
      <c r="BP72" s="10"/>
      <c r="BQ72" s="10"/>
      <c r="BR72" s="10"/>
      <c r="BS72" s="11"/>
      <c r="BT72" s="57"/>
      <c r="BU72" s="25"/>
      <c r="BV72" s="6"/>
      <c r="BW72" s="6"/>
      <c r="BX72" s="6"/>
      <c r="BY72" s="6"/>
      <c r="BZ72" s="6"/>
      <c r="CA72" s="6"/>
      <c r="CB72" s="9"/>
      <c r="CC72" s="9"/>
      <c r="CD72" s="9"/>
      <c r="CE72" s="9"/>
      <c r="CF72" s="9"/>
      <c r="CG72" s="11"/>
      <c r="CH72" s="61"/>
      <c r="CI72" s="182">
        <v>2200</v>
      </c>
      <c r="CJ72" s="52"/>
      <c r="CK72" s="196"/>
      <c r="CL72" s="197"/>
      <c r="CM72" s="197"/>
      <c r="CN72" s="197"/>
      <c r="CO72" s="198"/>
      <c r="CP72" s="34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1:143" s="4" customFormat="1" ht="11.45" customHeight="1" x14ac:dyDescent="0.2">
      <c r="A73" s="182"/>
      <c r="B73" s="44"/>
      <c r="C73" s="12"/>
      <c r="D73" s="13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57"/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  <c r="AC73" s="15"/>
      <c r="AD73" s="57"/>
      <c r="AE73" s="12"/>
      <c r="AF73" s="13"/>
      <c r="AG73" s="13"/>
      <c r="AH73" s="13"/>
      <c r="AI73" s="13"/>
      <c r="AJ73" s="13"/>
      <c r="AK73" s="13"/>
      <c r="AL73" s="13"/>
      <c r="AM73" s="14"/>
      <c r="AN73" s="14"/>
      <c r="AO73" s="14"/>
      <c r="AP73" s="14"/>
      <c r="AQ73" s="15"/>
      <c r="AR73" s="57"/>
      <c r="AS73" s="12"/>
      <c r="AT73" s="13"/>
      <c r="AU73" s="13"/>
      <c r="AV73" s="13"/>
      <c r="AW73" s="13"/>
      <c r="AX73" s="13"/>
      <c r="AY73" s="13"/>
      <c r="AZ73" s="14"/>
      <c r="BA73" s="14"/>
      <c r="BB73" s="14"/>
      <c r="BC73" s="14"/>
      <c r="BD73" s="14"/>
      <c r="BE73" s="15"/>
      <c r="BF73" s="57"/>
      <c r="BG73" s="12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5"/>
      <c r="BT73" s="57"/>
      <c r="BU73" s="12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5"/>
      <c r="CH73" s="61"/>
      <c r="CI73" s="182"/>
      <c r="CJ73" s="52"/>
      <c r="CK73" s="193" t="s">
        <v>113</v>
      </c>
      <c r="CL73" s="194"/>
      <c r="CM73" s="194"/>
      <c r="CN73" s="194"/>
      <c r="CO73" s="195"/>
      <c r="CP73" s="35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</row>
    <row r="74" spans="1:143" s="4" customFormat="1" ht="11.45" customHeight="1" x14ac:dyDescent="0.2">
      <c r="A74" s="182"/>
      <c r="B74" s="44"/>
      <c r="C74" s="5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1"/>
      <c r="P74" s="57"/>
      <c r="Q74" s="5"/>
      <c r="R74" s="9"/>
      <c r="S74" s="9"/>
      <c r="T74" s="9"/>
      <c r="U74" s="9"/>
      <c r="V74" s="9"/>
      <c r="W74" s="9"/>
      <c r="X74" s="9"/>
      <c r="Y74" s="9"/>
      <c r="Z74" s="9"/>
      <c r="AA74" s="10"/>
      <c r="AB74" s="10"/>
      <c r="AC74" s="11"/>
      <c r="AD74" s="57"/>
      <c r="AE74" s="5"/>
      <c r="AF74" s="9"/>
      <c r="AG74" s="9"/>
      <c r="AH74" s="9"/>
      <c r="AI74" s="9"/>
      <c r="AJ74" s="9"/>
      <c r="AK74" s="9"/>
      <c r="AL74" s="9"/>
      <c r="AM74" s="10"/>
      <c r="AN74" s="10"/>
      <c r="AO74" s="10"/>
      <c r="AP74" s="10"/>
      <c r="AQ74" s="11"/>
      <c r="AR74" s="57"/>
      <c r="AS74" s="5"/>
      <c r="AT74" s="9"/>
      <c r="AU74" s="9"/>
      <c r="AV74" s="9"/>
      <c r="AW74" s="9"/>
      <c r="AX74" s="9"/>
      <c r="AY74" s="9"/>
      <c r="AZ74" s="10"/>
      <c r="BA74" s="10"/>
      <c r="BB74" s="10"/>
      <c r="BC74" s="10"/>
      <c r="BD74" s="10"/>
      <c r="BE74" s="11"/>
      <c r="BF74" s="57"/>
      <c r="BG74" s="5"/>
      <c r="BH74" s="9"/>
      <c r="BI74" s="9"/>
      <c r="BJ74" s="9"/>
      <c r="BK74" s="9"/>
      <c r="BL74" s="9"/>
      <c r="BM74" s="9"/>
      <c r="BN74" s="9"/>
      <c r="BO74" s="10"/>
      <c r="BP74" s="10"/>
      <c r="BQ74" s="10"/>
      <c r="BR74" s="10"/>
      <c r="BS74" s="11"/>
      <c r="BT74" s="57"/>
      <c r="BU74" s="25"/>
      <c r="BV74" s="6"/>
      <c r="BW74" s="6"/>
      <c r="BX74" s="6"/>
      <c r="BY74" s="6"/>
      <c r="BZ74" s="6"/>
      <c r="CA74" s="6"/>
      <c r="CB74" s="9"/>
      <c r="CC74" s="9"/>
      <c r="CD74" s="9"/>
      <c r="CE74" s="9"/>
      <c r="CF74" s="9"/>
      <c r="CG74" s="11"/>
      <c r="CH74" s="61"/>
      <c r="CI74" s="182"/>
      <c r="CJ74" s="52"/>
      <c r="CK74" s="196"/>
      <c r="CL74" s="197"/>
      <c r="CM74" s="197"/>
      <c r="CN74" s="197"/>
      <c r="CO74" s="198"/>
      <c r="CP74" s="35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</row>
    <row r="75" spans="1:143" s="4" customFormat="1" ht="11.45" customHeight="1" x14ac:dyDescent="0.2">
      <c r="A75" s="182"/>
      <c r="B75" s="44"/>
      <c r="C75" s="12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57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  <c r="AC75" s="15"/>
      <c r="AD75" s="57"/>
      <c r="AE75" s="12"/>
      <c r="AF75" s="13"/>
      <c r="AG75" s="13"/>
      <c r="AH75" s="13"/>
      <c r="AI75" s="13"/>
      <c r="AJ75" s="13"/>
      <c r="AK75" s="13"/>
      <c r="AL75" s="13"/>
      <c r="AM75" s="14"/>
      <c r="AN75" s="14"/>
      <c r="AO75" s="14"/>
      <c r="AP75" s="14"/>
      <c r="AQ75" s="15"/>
      <c r="AR75" s="57"/>
      <c r="AS75" s="12"/>
      <c r="AT75" s="13"/>
      <c r="AU75" s="13"/>
      <c r="AV75" s="13"/>
      <c r="AW75" s="13"/>
      <c r="AX75" s="13"/>
      <c r="AY75" s="13"/>
      <c r="AZ75" s="14"/>
      <c r="BA75" s="14"/>
      <c r="BB75" s="14"/>
      <c r="BC75" s="14"/>
      <c r="BD75" s="14"/>
      <c r="BE75" s="15"/>
      <c r="BF75" s="57"/>
      <c r="BG75" s="12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5"/>
      <c r="BT75" s="57"/>
      <c r="BU75" s="12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5"/>
      <c r="CH75" s="61"/>
      <c r="CI75" s="182"/>
      <c r="CJ75" s="52"/>
      <c r="CK75" s="193" t="s">
        <v>114</v>
      </c>
      <c r="CL75" s="194"/>
      <c r="CM75" s="194"/>
      <c r="CN75" s="194"/>
      <c r="CO75" s="195"/>
      <c r="CP75" s="34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</row>
    <row r="76" spans="1:143" s="4" customFormat="1" ht="11.45" customHeight="1" x14ac:dyDescent="0.2">
      <c r="A76" s="182">
        <v>2300</v>
      </c>
      <c r="B76" s="44"/>
      <c r="C76" s="5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1"/>
      <c r="P76" s="57"/>
      <c r="Q76" s="5"/>
      <c r="R76" s="9"/>
      <c r="S76" s="9"/>
      <c r="T76" s="9"/>
      <c r="U76" s="9"/>
      <c r="V76" s="9"/>
      <c r="W76" s="9"/>
      <c r="X76" s="10"/>
      <c r="Y76" s="10"/>
      <c r="Z76" s="10"/>
      <c r="AA76" s="10"/>
      <c r="AB76" s="10"/>
      <c r="AC76" s="11"/>
      <c r="AD76" s="57"/>
      <c r="AE76" s="5"/>
      <c r="AF76" s="9"/>
      <c r="AG76" s="9"/>
      <c r="AH76" s="9"/>
      <c r="AI76" s="9"/>
      <c r="AJ76" s="9"/>
      <c r="AK76" s="9"/>
      <c r="AL76" s="9"/>
      <c r="AM76" s="10"/>
      <c r="AN76" s="10"/>
      <c r="AO76" s="10"/>
      <c r="AP76" s="10"/>
      <c r="AQ76" s="11"/>
      <c r="AR76" s="57"/>
      <c r="AS76" s="5"/>
      <c r="AT76" s="9"/>
      <c r="AU76" s="9"/>
      <c r="AV76" s="9"/>
      <c r="AW76" s="9"/>
      <c r="AX76" s="9"/>
      <c r="AY76" s="9"/>
      <c r="AZ76" s="10"/>
      <c r="BA76" s="10"/>
      <c r="BB76" s="10"/>
      <c r="BC76" s="10"/>
      <c r="BD76" s="10"/>
      <c r="BE76" s="11"/>
      <c r="BF76" s="57"/>
      <c r="BG76" s="5"/>
      <c r="BH76" s="9"/>
      <c r="BI76" s="9"/>
      <c r="BJ76" s="9"/>
      <c r="BK76" s="9"/>
      <c r="BL76" s="9"/>
      <c r="BM76" s="9"/>
      <c r="BN76" s="9"/>
      <c r="BO76" s="10"/>
      <c r="BP76" s="10"/>
      <c r="BQ76" s="10"/>
      <c r="BR76" s="10"/>
      <c r="BS76" s="11"/>
      <c r="BT76" s="57"/>
      <c r="BU76" s="25"/>
      <c r="BV76" s="6"/>
      <c r="BW76" s="6"/>
      <c r="BX76" s="6"/>
      <c r="BY76" s="6"/>
      <c r="BZ76" s="6"/>
      <c r="CA76" s="6"/>
      <c r="CB76" s="9"/>
      <c r="CC76" s="9"/>
      <c r="CD76" s="9"/>
      <c r="CE76" s="9"/>
      <c r="CF76" s="9"/>
      <c r="CG76" s="11"/>
      <c r="CH76" s="61"/>
      <c r="CI76" s="182">
        <v>2300</v>
      </c>
      <c r="CJ76" s="52"/>
      <c r="CK76" s="196"/>
      <c r="CL76" s="197"/>
      <c r="CM76" s="197"/>
      <c r="CN76" s="197"/>
      <c r="CO76" s="198"/>
      <c r="CP76" s="34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</row>
    <row r="77" spans="1:143" s="4" customFormat="1" ht="11.45" customHeight="1" x14ac:dyDescent="0.2">
      <c r="A77" s="182"/>
      <c r="B77" s="44"/>
      <c r="C77" s="12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57"/>
      <c r="Q77" s="12"/>
      <c r="R77" s="13"/>
      <c r="S77" s="13"/>
      <c r="T77" s="13"/>
      <c r="U77" s="13"/>
      <c r="V77" s="13"/>
      <c r="W77" s="13"/>
      <c r="X77" s="14"/>
      <c r="Y77" s="14"/>
      <c r="Z77" s="14"/>
      <c r="AA77" s="14"/>
      <c r="AB77" s="14"/>
      <c r="AC77" s="15"/>
      <c r="AD77" s="57"/>
      <c r="AE77" s="12"/>
      <c r="AF77" s="13"/>
      <c r="AG77" s="13"/>
      <c r="AH77" s="13"/>
      <c r="AI77" s="13"/>
      <c r="AJ77" s="13"/>
      <c r="AK77" s="13"/>
      <c r="AL77" s="13"/>
      <c r="AM77" s="14"/>
      <c r="AN77" s="14"/>
      <c r="AO77" s="14"/>
      <c r="AP77" s="14"/>
      <c r="AQ77" s="15"/>
      <c r="AR77" s="57"/>
      <c r="AS77" s="12"/>
      <c r="AT77" s="13"/>
      <c r="AU77" s="13"/>
      <c r="AV77" s="13"/>
      <c r="AW77" s="13"/>
      <c r="AX77" s="13"/>
      <c r="AY77" s="13"/>
      <c r="AZ77" s="14"/>
      <c r="BA77" s="14"/>
      <c r="BB77" s="14"/>
      <c r="BC77" s="14"/>
      <c r="BD77" s="14"/>
      <c r="BE77" s="15"/>
      <c r="BF77" s="57"/>
      <c r="BG77" s="12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5"/>
      <c r="BT77" s="57"/>
      <c r="BU77" s="12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5"/>
      <c r="CH77" s="61"/>
      <c r="CI77" s="182"/>
      <c r="CJ77" s="52"/>
      <c r="CK77" s="176" t="s">
        <v>129</v>
      </c>
      <c r="CL77" s="177"/>
      <c r="CM77" s="177"/>
      <c r="CN77" s="177"/>
      <c r="CO77" s="178"/>
      <c r="CP77" s="34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</row>
    <row r="78" spans="1:143" s="4" customFormat="1" ht="11.45" customHeight="1" x14ac:dyDescent="0.2">
      <c r="A78" s="182"/>
      <c r="B78" s="44"/>
      <c r="C78" s="5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1"/>
      <c r="P78" s="57"/>
      <c r="Q78" s="5"/>
      <c r="R78" s="9"/>
      <c r="S78" s="9"/>
      <c r="T78" s="9"/>
      <c r="U78" s="9"/>
      <c r="V78" s="9"/>
      <c r="W78" s="9"/>
      <c r="X78" s="10"/>
      <c r="Y78" s="10"/>
      <c r="Z78" s="10"/>
      <c r="AA78" s="10"/>
      <c r="AB78" s="10"/>
      <c r="AC78" s="11"/>
      <c r="AD78" s="57"/>
      <c r="AE78" s="5"/>
      <c r="AF78" s="9"/>
      <c r="AG78" s="9"/>
      <c r="AH78" s="9"/>
      <c r="AI78" s="9"/>
      <c r="AJ78" s="9"/>
      <c r="AK78" s="9"/>
      <c r="AL78" s="9"/>
      <c r="AM78" s="10"/>
      <c r="AN78" s="10"/>
      <c r="AO78" s="10"/>
      <c r="AP78" s="10"/>
      <c r="AQ78" s="11"/>
      <c r="AR78" s="57"/>
      <c r="AS78" s="5"/>
      <c r="AT78" s="9"/>
      <c r="AU78" s="9"/>
      <c r="AV78" s="9"/>
      <c r="AW78" s="9"/>
      <c r="AX78" s="9"/>
      <c r="AY78" s="9"/>
      <c r="AZ78" s="10"/>
      <c r="BA78" s="10"/>
      <c r="BB78" s="10"/>
      <c r="BC78" s="10"/>
      <c r="BD78" s="10"/>
      <c r="BE78" s="11"/>
      <c r="BF78" s="57"/>
      <c r="BG78" s="5"/>
      <c r="BH78" s="9"/>
      <c r="BI78" s="9"/>
      <c r="BJ78" s="9"/>
      <c r="BK78" s="9"/>
      <c r="BL78" s="9"/>
      <c r="BM78" s="9"/>
      <c r="BN78" s="9"/>
      <c r="BO78" s="10"/>
      <c r="BP78" s="10"/>
      <c r="BQ78" s="10"/>
      <c r="BR78" s="10"/>
      <c r="BS78" s="11"/>
      <c r="BT78" s="57"/>
      <c r="BU78" s="25"/>
      <c r="BV78" s="6"/>
      <c r="BW78" s="6"/>
      <c r="BX78" s="6"/>
      <c r="BY78" s="6"/>
      <c r="BZ78" s="6"/>
      <c r="CA78" s="6"/>
      <c r="CB78" s="9"/>
      <c r="CC78" s="9"/>
      <c r="CD78" s="9"/>
      <c r="CE78" s="9"/>
      <c r="CF78" s="9"/>
      <c r="CG78" s="11"/>
      <c r="CH78" s="61"/>
      <c r="CI78" s="182"/>
      <c r="CJ78" s="52"/>
      <c r="CK78" s="179"/>
      <c r="CL78" s="180"/>
      <c r="CM78" s="180"/>
      <c r="CN78" s="180"/>
      <c r="CO78" s="181"/>
      <c r="CP78" s="34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</row>
    <row r="79" spans="1:143" s="4" customFormat="1" ht="11.45" customHeight="1" x14ac:dyDescent="0.2">
      <c r="A79" s="182"/>
      <c r="B79" s="44"/>
      <c r="C79" s="12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5"/>
      <c r="P79" s="57"/>
      <c r="Q79" s="12"/>
      <c r="R79" s="13"/>
      <c r="S79" s="13"/>
      <c r="T79" s="13"/>
      <c r="U79" s="13"/>
      <c r="V79" s="13"/>
      <c r="W79" s="13"/>
      <c r="X79" s="14"/>
      <c r="Y79" s="14"/>
      <c r="Z79" s="14"/>
      <c r="AA79" s="14"/>
      <c r="AB79" s="14"/>
      <c r="AC79" s="15"/>
      <c r="AD79" s="57"/>
      <c r="AE79" s="12"/>
      <c r="AF79" s="13"/>
      <c r="AG79" s="13"/>
      <c r="AH79" s="13"/>
      <c r="AI79" s="13"/>
      <c r="AJ79" s="13"/>
      <c r="AK79" s="13"/>
      <c r="AL79" s="13"/>
      <c r="AM79" s="14"/>
      <c r="AN79" s="14"/>
      <c r="AO79" s="14"/>
      <c r="AP79" s="14"/>
      <c r="AQ79" s="15"/>
      <c r="AR79" s="57"/>
      <c r="AS79" s="12"/>
      <c r="AT79" s="13"/>
      <c r="AU79" s="13"/>
      <c r="AV79" s="13"/>
      <c r="AW79" s="13"/>
      <c r="AX79" s="13"/>
      <c r="AY79" s="13"/>
      <c r="AZ79" s="14"/>
      <c r="BA79" s="14"/>
      <c r="BB79" s="14"/>
      <c r="BC79" s="14"/>
      <c r="BD79" s="14"/>
      <c r="BE79" s="15"/>
      <c r="BF79" s="57"/>
      <c r="BG79" s="12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5"/>
      <c r="BT79" s="57"/>
      <c r="BU79" s="12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5"/>
      <c r="CH79" s="61"/>
      <c r="CI79" s="182"/>
      <c r="CJ79" s="52"/>
      <c r="CK79" s="131" t="s">
        <v>149</v>
      </c>
      <c r="CL79" s="132"/>
      <c r="CM79" s="132"/>
      <c r="CN79" s="132"/>
      <c r="CO79" s="13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</row>
    <row r="80" spans="1:143" s="4" customFormat="1" ht="11.45" customHeight="1" x14ac:dyDescent="0.2">
      <c r="A80" s="182">
        <v>2400</v>
      </c>
      <c r="B80" s="44"/>
      <c r="C80" s="5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1"/>
      <c r="P80" s="57"/>
      <c r="Q80" s="5"/>
      <c r="R80" s="9"/>
      <c r="S80" s="9"/>
      <c r="T80" s="9"/>
      <c r="U80" s="9"/>
      <c r="V80" s="9"/>
      <c r="W80" s="9"/>
      <c r="X80" s="10"/>
      <c r="Y80" s="10"/>
      <c r="Z80" s="10"/>
      <c r="AA80" s="10"/>
      <c r="AB80" s="10"/>
      <c r="AC80" s="11"/>
      <c r="AD80" s="57"/>
      <c r="AE80" s="5"/>
      <c r="AF80" s="9"/>
      <c r="AG80" s="9"/>
      <c r="AH80" s="9"/>
      <c r="AI80" s="9"/>
      <c r="AJ80" s="9"/>
      <c r="AK80" s="9"/>
      <c r="AL80" s="9"/>
      <c r="AM80" s="10"/>
      <c r="AN80" s="10"/>
      <c r="AO80" s="10"/>
      <c r="AP80" s="10"/>
      <c r="AQ80" s="11"/>
      <c r="AR80" s="57"/>
      <c r="AS80" s="5"/>
      <c r="AT80" s="9"/>
      <c r="AU80" s="9"/>
      <c r="AV80" s="9"/>
      <c r="AW80" s="9"/>
      <c r="AX80" s="9"/>
      <c r="AY80" s="9"/>
      <c r="AZ80" s="10"/>
      <c r="BA80" s="10"/>
      <c r="BB80" s="10"/>
      <c r="BC80" s="10"/>
      <c r="BD80" s="10"/>
      <c r="BE80" s="11"/>
      <c r="BF80" s="57"/>
      <c r="BG80" s="5"/>
      <c r="BH80" s="9"/>
      <c r="BI80" s="9"/>
      <c r="BJ80" s="9"/>
      <c r="BK80" s="9"/>
      <c r="BL80" s="9"/>
      <c r="BM80" s="9"/>
      <c r="BN80" s="9"/>
      <c r="BO80" s="10"/>
      <c r="BP80" s="10"/>
      <c r="BQ80" s="10"/>
      <c r="BR80" s="10"/>
      <c r="BS80" s="11"/>
      <c r="BT80" s="57"/>
      <c r="BU80" s="25"/>
      <c r="BV80" s="6"/>
      <c r="BW80" s="6"/>
      <c r="BX80" s="6"/>
      <c r="BY80" s="6"/>
      <c r="BZ80" s="6"/>
      <c r="CA80" s="6"/>
      <c r="CB80" s="9"/>
      <c r="CC80" s="9"/>
      <c r="CD80" s="9"/>
      <c r="CE80" s="9"/>
      <c r="CF80" s="9"/>
      <c r="CG80" s="11"/>
      <c r="CH80" s="61"/>
      <c r="CI80" s="182">
        <v>2400</v>
      </c>
      <c r="CJ80" s="52"/>
      <c r="CK80" s="134"/>
      <c r="CL80" s="135"/>
      <c r="CM80" s="135"/>
      <c r="CN80" s="135"/>
      <c r="CO80" s="136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</row>
    <row r="81" spans="1:143" s="4" customFormat="1" ht="11.45" customHeight="1" x14ac:dyDescent="0.2">
      <c r="A81" s="182"/>
      <c r="B81" s="44"/>
      <c r="C81" s="12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5"/>
      <c r="P81" s="57"/>
      <c r="Q81" s="12"/>
      <c r="R81" s="13"/>
      <c r="S81" s="13"/>
      <c r="T81" s="13"/>
      <c r="U81" s="13"/>
      <c r="V81" s="13"/>
      <c r="W81" s="13"/>
      <c r="X81" s="14"/>
      <c r="Y81" s="14"/>
      <c r="Z81" s="14"/>
      <c r="AA81" s="14"/>
      <c r="AB81" s="14"/>
      <c r="AC81" s="15"/>
      <c r="AD81" s="57"/>
      <c r="AE81" s="12"/>
      <c r="AF81" s="13"/>
      <c r="AG81" s="13"/>
      <c r="AH81" s="13"/>
      <c r="AI81" s="13"/>
      <c r="AJ81" s="13"/>
      <c r="AK81" s="13"/>
      <c r="AL81" s="13"/>
      <c r="AM81" s="14"/>
      <c r="AN81" s="14"/>
      <c r="AO81" s="14"/>
      <c r="AP81" s="14"/>
      <c r="AQ81" s="15"/>
      <c r="AR81" s="57"/>
      <c r="AS81" s="12"/>
      <c r="AT81" s="13"/>
      <c r="AU81" s="13"/>
      <c r="AV81" s="13"/>
      <c r="AW81" s="13"/>
      <c r="AX81" s="13"/>
      <c r="AY81" s="13"/>
      <c r="AZ81" s="14"/>
      <c r="BA81" s="14"/>
      <c r="BB81" s="14"/>
      <c r="BC81" s="14"/>
      <c r="BD81" s="14"/>
      <c r="BE81" s="15"/>
      <c r="BF81" s="57"/>
      <c r="BG81" s="12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5"/>
      <c r="BT81" s="57"/>
      <c r="BU81" s="12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5"/>
      <c r="CH81" s="61"/>
      <c r="CI81" s="182"/>
      <c r="CJ81" s="52"/>
      <c r="CK81" s="134"/>
      <c r="CL81" s="135"/>
      <c r="CM81" s="135"/>
      <c r="CN81" s="135"/>
      <c r="CO81" s="136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</row>
    <row r="82" spans="1:143" s="4" customFormat="1" ht="11.45" customHeight="1" x14ac:dyDescent="0.2">
      <c r="A82" s="182"/>
      <c r="B82" s="44"/>
      <c r="C82" s="5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1"/>
      <c r="P82" s="57"/>
      <c r="Q82" s="5"/>
      <c r="R82" s="9"/>
      <c r="S82" s="9"/>
      <c r="T82" s="9"/>
      <c r="U82" s="9"/>
      <c r="V82" s="9"/>
      <c r="W82" s="9"/>
      <c r="X82" s="10"/>
      <c r="Y82" s="10"/>
      <c r="Z82" s="10"/>
      <c r="AA82" s="10"/>
      <c r="AB82" s="10"/>
      <c r="AC82" s="11"/>
      <c r="AD82" s="57"/>
      <c r="AE82" s="5"/>
      <c r="AF82" s="9"/>
      <c r="AG82" s="9"/>
      <c r="AH82" s="9"/>
      <c r="AI82" s="9"/>
      <c r="AJ82" s="9"/>
      <c r="AK82" s="9"/>
      <c r="AL82" s="9"/>
      <c r="AM82" s="10"/>
      <c r="AN82" s="10"/>
      <c r="AO82" s="10"/>
      <c r="AP82" s="10"/>
      <c r="AQ82" s="11"/>
      <c r="AR82" s="57"/>
      <c r="AS82" s="5"/>
      <c r="AT82" s="9"/>
      <c r="AU82" s="9"/>
      <c r="AV82" s="9"/>
      <c r="AW82" s="9"/>
      <c r="AX82" s="9"/>
      <c r="AY82" s="9"/>
      <c r="AZ82" s="10"/>
      <c r="BA82" s="10"/>
      <c r="BB82" s="10"/>
      <c r="BC82" s="10"/>
      <c r="BD82" s="10"/>
      <c r="BE82" s="11"/>
      <c r="BF82" s="57"/>
      <c r="BG82" s="5"/>
      <c r="BH82" s="9"/>
      <c r="BI82" s="9"/>
      <c r="BJ82" s="9"/>
      <c r="BK82" s="9"/>
      <c r="BL82" s="9"/>
      <c r="BM82" s="9"/>
      <c r="BN82" s="9"/>
      <c r="BO82" s="10"/>
      <c r="BP82" s="10"/>
      <c r="BQ82" s="10"/>
      <c r="BR82" s="10"/>
      <c r="BS82" s="11"/>
      <c r="BT82" s="57"/>
      <c r="BU82" s="25"/>
      <c r="BV82" s="6"/>
      <c r="BW82" s="6"/>
      <c r="BX82" s="6"/>
      <c r="BY82" s="6"/>
      <c r="BZ82" s="6"/>
      <c r="CA82" s="6"/>
      <c r="CB82" s="9"/>
      <c r="CC82" s="9"/>
      <c r="CD82" s="9"/>
      <c r="CE82" s="9"/>
      <c r="CF82" s="9"/>
      <c r="CG82" s="11"/>
      <c r="CH82" s="61"/>
      <c r="CI82" s="182"/>
      <c r="CJ82" s="52"/>
      <c r="CK82" s="134"/>
      <c r="CL82" s="135"/>
      <c r="CM82" s="135"/>
      <c r="CN82" s="135"/>
      <c r="CO82" s="136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</row>
    <row r="83" spans="1:143" s="4" customFormat="1" ht="11.45" customHeight="1" x14ac:dyDescent="0.2">
      <c r="A83" s="183"/>
      <c r="B83" s="51"/>
      <c r="C83" s="28"/>
      <c r="D83" s="29"/>
      <c r="E83" s="29"/>
      <c r="F83" s="30"/>
      <c r="G83" s="30"/>
      <c r="H83" s="30"/>
      <c r="I83" s="30"/>
      <c r="J83" s="30"/>
      <c r="K83" s="30"/>
      <c r="L83" s="30"/>
      <c r="M83" s="30"/>
      <c r="N83" s="14"/>
      <c r="O83" s="15"/>
      <c r="P83" s="57"/>
      <c r="Q83" s="12"/>
      <c r="R83" s="13"/>
      <c r="S83" s="13"/>
      <c r="T83" s="13"/>
      <c r="U83" s="13"/>
      <c r="V83" s="13"/>
      <c r="W83" s="13"/>
      <c r="X83" s="14"/>
      <c r="Y83" s="14"/>
      <c r="Z83" s="14"/>
      <c r="AA83" s="14"/>
      <c r="AB83" s="14"/>
      <c r="AC83" s="15"/>
      <c r="AD83" s="57"/>
      <c r="AE83" s="12"/>
      <c r="AF83" s="29"/>
      <c r="AG83" s="29"/>
      <c r="AH83" s="29"/>
      <c r="AI83" s="29"/>
      <c r="AJ83" s="29"/>
      <c r="AK83" s="29"/>
      <c r="AL83" s="29"/>
      <c r="AM83" s="30"/>
      <c r="AN83" s="30"/>
      <c r="AO83" s="30"/>
      <c r="AP83" s="30"/>
      <c r="AQ83" s="31"/>
      <c r="AR83" s="57"/>
      <c r="AS83" s="28"/>
      <c r="AT83" s="29"/>
      <c r="AU83" s="29"/>
      <c r="AV83" s="29"/>
      <c r="AW83" s="29"/>
      <c r="AX83" s="29"/>
      <c r="AY83" s="29"/>
      <c r="AZ83" s="30"/>
      <c r="BA83" s="30"/>
      <c r="BB83" s="30"/>
      <c r="BC83" s="30"/>
      <c r="BD83" s="30"/>
      <c r="BE83" s="31"/>
      <c r="BF83" s="57"/>
      <c r="BG83" s="28"/>
      <c r="BH83" s="29"/>
      <c r="BI83" s="29"/>
      <c r="BJ83" s="29"/>
      <c r="BK83" s="29"/>
      <c r="BL83" s="29"/>
      <c r="BM83" s="29"/>
      <c r="BN83" s="29"/>
      <c r="BO83" s="30"/>
      <c r="BP83" s="30"/>
      <c r="BQ83" s="30"/>
      <c r="BR83" s="30"/>
      <c r="BS83" s="31"/>
      <c r="BT83" s="57"/>
      <c r="BU83" s="12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5"/>
      <c r="CH83" s="61"/>
      <c r="CI83" s="183"/>
      <c r="CJ83" s="52"/>
      <c r="CK83" s="134"/>
      <c r="CL83" s="135"/>
      <c r="CM83" s="135"/>
      <c r="CN83" s="135"/>
      <c r="CO83" s="136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</row>
    <row r="84" spans="1:143" s="37" customFormat="1" ht="12.95" customHeight="1" x14ac:dyDescent="0.2">
      <c r="A84" s="38"/>
      <c r="B84" s="91"/>
      <c r="C84" s="72" t="s">
        <v>0</v>
      </c>
      <c r="D84" s="173" t="s">
        <v>62</v>
      </c>
      <c r="E84" s="184"/>
      <c r="F84" s="184"/>
      <c r="G84" s="184"/>
      <c r="H84" s="184"/>
      <c r="I84" s="184"/>
      <c r="J84" s="184"/>
      <c r="K84" s="174"/>
      <c r="L84" s="173" t="s">
        <v>48</v>
      </c>
      <c r="M84" s="174"/>
      <c r="N84" s="173" t="s">
        <v>63</v>
      </c>
      <c r="O84" s="174"/>
      <c r="P84" s="85"/>
      <c r="Q84" s="72" t="s">
        <v>0</v>
      </c>
      <c r="R84" s="173" t="s">
        <v>62</v>
      </c>
      <c r="S84" s="184"/>
      <c r="T84" s="184"/>
      <c r="U84" s="184"/>
      <c r="V84" s="184"/>
      <c r="W84" s="184"/>
      <c r="X84" s="184"/>
      <c r="Y84" s="174"/>
      <c r="Z84" s="173" t="s">
        <v>48</v>
      </c>
      <c r="AA84" s="174"/>
      <c r="AB84" s="173" t="s">
        <v>63</v>
      </c>
      <c r="AC84" s="174"/>
      <c r="AD84" s="85"/>
      <c r="AE84" s="72" t="s">
        <v>0</v>
      </c>
      <c r="AF84" s="173" t="s">
        <v>62</v>
      </c>
      <c r="AG84" s="184"/>
      <c r="AH84" s="184"/>
      <c r="AI84" s="184"/>
      <c r="AJ84" s="184"/>
      <c r="AK84" s="184"/>
      <c r="AL84" s="184"/>
      <c r="AM84" s="174"/>
      <c r="AN84" s="173" t="s">
        <v>48</v>
      </c>
      <c r="AO84" s="174"/>
      <c r="AP84" s="173" t="s">
        <v>63</v>
      </c>
      <c r="AQ84" s="174"/>
      <c r="AR84" s="85"/>
      <c r="AS84" s="72" t="s">
        <v>0</v>
      </c>
      <c r="AT84" s="173" t="s">
        <v>62</v>
      </c>
      <c r="AU84" s="184"/>
      <c r="AV84" s="184"/>
      <c r="AW84" s="184"/>
      <c r="AX84" s="184"/>
      <c r="AY84" s="184"/>
      <c r="AZ84" s="184"/>
      <c r="BA84" s="174"/>
      <c r="BB84" s="173" t="s">
        <v>48</v>
      </c>
      <c r="BC84" s="174"/>
      <c r="BD84" s="173" t="s">
        <v>63</v>
      </c>
      <c r="BE84" s="174"/>
      <c r="BF84" s="85"/>
      <c r="BG84" s="72" t="s">
        <v>0</v>
      </c>
      <c r="BH84" s="173" t="s">
        <v>62</v>
      </c>
      <c r="BI84" s="184"/>
      <c r="BJ84" s="184"/>
      <c r="BK84" s="184"/>
      <c r="BL84" s="184"/>
      <c r="BM84" s="184"/>
      <c r="BN84" s="184"/>
      <c r="BO84" s="174"/>
      <c r="BP84" s="173" t="s">
        <v>48</v>
      </c>
      <c r="BQ84" s="174"/>
      <c r="BR84" s="173" t="s">
        <v>63</v>
      </c>
      <c r="BS84" s="174"/>
      <c r="BT84" s="85"/>
      <c r="BU84" s="72" t="s">
        <v>0</v>
      </c>
      <c r="BV84" s="173" t="s">
        <v>62</v>
      </c>
      <c r="BW84" s="184"/>
      <c r="BX84" s="184"/>
      <c r="BY84" s="184"/>
      <c r="BZ84" s="184"/>
      <c r="CA84" s="184"/>
      <c r="CB84" s="184"/>
      <c r="CC84" s="174"/>
      <c r="CD84" s="173" t="s">
        <v>48</v>
      </c>
      <c r="CE84" s="174"/>
      <c r="CF84" s="173" t="s">
        <v>63</v>
      </c>
      <c r="CG84" s="174"/>
      <c r="CH84" s="48"/>
      <c r="CI84" s="68"/>
      <c r="CJ84" s="53"/>
      <c r="CK84" s="134"/>
      <c r="CL84" s="135"/>
      <c r="CM84" s="135"/>
      <c r="CN84" s="135"/>
      <c r="CO84" s="136"/>
    </row>
    <row r="85" spans="1:143" s="32" customFormat="1" ht="12.95" customHeight="1" x14ac:dyDescent="0.2">
      <c r="A85" s="167" t="s">
        <v>58</v>
      </c>
      <c r="B85" s="45"/>
      <c r="C85" s="156">
        <v>1530</v>
      </c>
      <c r="D85" s="152" t="s">
        <v>199</v>
      </c>
      <c r="E85" s="158"/>
      <c r="F85" s="158"/>
      <c r="G85" s="158"/>
      <c r="H85" s="158"/>
      <c r="I85" s="158"/>
      <c r="J85" s="158"/>
      <c r="K85" s="153"/>
      <c r="L85" s="152" t="s">
        <v>201</v>
      </c>
      <c r="M85" s="153"/>
      <c r="N85" s="152" t="s">
        <v>123</v>
      </c>
      <c r="O85" s="153"/>
      <c r="P85" s="85"/>
      <c r="Q85" s="156">
        <v>1530</v>
      </c>
      <c r="R85" s="152" t="s">
        <v>199</v>
      </c>
      <c r="S85" s="158"/>
      <c r="T85" s="158"/>
      <c r="U85" s="158"/>
      <c r="V85" s="158"/>
      <c r="W85" s="158"/>
      <c r="X85" s="158"/>
      <c r="Y85" s="153"/>
      <c r="Z85" s="152" t="s">
        <v>201</v>
      </c>
      <c r="AA85" s="153"/>
      <c r="AB85" s="152" t="s">
        <v>123</v>
      </c>
      <c r="AC85" s="153"/>
      <c r="AD85" s="85"/>
      <c r="AE85" s="156">
        <v>1530</v>
      </c>
      <c r="AF85" s="152" t="s">
        <v>199</v>
      </c>
      <c r="AG85" s="158"/>
      <c r="AH85" s="158"/>
      <c r="AI85" s="158"/>
      <c r="AJ85" s="158"/>
      <c r="AK85" s="158"/>
      <c r="AL85" s="158"/>
      <c r="AM85" s="153"/>
      <c r="AN85" s="152" t="s">
        <v>201</v>
      </c>
      <c r="AO85" s="153"/>
      <c r="AP85" s="152" t="s">
        <v>123</v>
      </c>
      <c r="AQ85" s="153"/>
      <c r="AR85" s="85"/>
      <c r="AS85" s="156">
        <v>1530</v>
      </c>
      <c r="AT85" s="152" t="s">
        <v>199</v>
      </c>
      <c r="AU85" s="158"/>
      <c r="AV85" s="158"/>
      <c r="AW85" s="158"/>
      <c r="AX85" s="158"/>
      <c r="AY85" s="158"/>
      <c r="AZ85" s="158"/>
      <c r="BA85" s="153"/>
      <c r="BB85" s="152" t="s">
        <v>201</v>
      </c>
      <c r="BC85" s="153"/>
      <c r="BD85" s="152" t="s">
        <v>123</v>
      </c>
      <c r="BE85" s="153"/>
      <c r="BF85" s="85"/>
      <c r="BG85" s="156">
        <v>1530</v>
      </c>
      <c r="BH85" s="152" t="s">
        <v>199</v>
      </c>
      <c r="BI85" s="158"/>
      <c r="BJ85" s="158"/>
      <c r="BK85" s="158"/>
      <c r="BL85" s="158"/>
      <c r="BM85" s="158"/>
      <c r="BN85" s="158"/>
      <c r="BO85" s="153"/>
      <c r="BP85" s="152" t="s">
        <v>201</v>
      </c>
      <c r="BQ85" s="153"/>
      <c r="BR85" s="152" t="s">
        <v>123</v>
      </c>
      <c r="BS85" s="153"/>
      <c r="BT85" s="85"/>
      <c r="BU85" s="284"/>
      <c r="BV85" s="152"/>
      <c r="BW85" s="158"/>
      <c r="BX85" s="158"/>
      <c r="BY85" s="158"/>
      <c r="BZ85" s="158"/>
      <c r="CA85" s="158"/>
      <c r="CB85" s="158"/>
      <c r="CC85" s="153"/>
      <c r="CD85" s="163"/>
      <c r="CE85" s="164"/>
      <c r="CF85" s="163"/>
      <c r="CG85" s="164"/>
      <c r="CH85" s="49"/>
      <c r="CI85" s="167" t="s">
        <v>58</v>
      </c>
      <c r="CJ85" s="54"/>
      <c r="CK85" s="134"/>
      <c r="CL85" s="135"/>
      <c r="CM85" s="135"/>
      <c r="CN85" s="135"/>
      <c r="CO85" s="136"/>
    </row>
    <row r="86" spans="1:143" s="32" customFormat="1" ht="12.95" customHeight="1" x14ac:dyDescent="0.2">
      <c r="A86" s="167"/>
      <c r="B86" s="45"/>
      <c r="C86" s="157"/>
      <c r="D86" s="154"/>
      <c r="E86" s="159"/>
      <c r="F86" s="159"/>
      <c r="G86" s="159"/>
      <c r="H86" s="159"/>
      <c r="I86" s="159"/>
      <c r="J86" s="159"/>
      <c r="K86" s="155"/>
      <c r="L86" s="154"/>
      <c r="M86" s="155"/>
      <c r="N86" s="154"/>
      <c r="O86" s="155"/>
      <c r="P86" s="85"/>
      <c r="Q86" s="157"/>
      <c r="R86" s="154"/>
      <c r="S86" s="159"/>
      <c r="T86" s="159"/>
      <c r="U86" s="159"/>
      <c r="V86" s="159"/>
      <c r="W86" s="159"/>
      <c r="X86" s="159"/>
      <c r="Y86" s="155"/>
      <c r="Z86" s="154"/>
      <c r="AA86" s="155"/>
      <c r="AB86" s="154"/>
      <c r="AC86" s="155"/>
      <c r="AD86" s="85"/>
      <c r="AE86" s="157"/>
      <c r="AF86" s="154"/>
      <c r="AG86" s="159"/>
      <c r="AH86" s="159"/>
      <c r="AI86" s="159"/>
      <c r="AJ86" s="159"/>
      <c r="AK86" s="159"/>
      <c r="AL86" s="159"/>
      <c r="AM86" s="155"/>
      <c r="AN86" s="154"/>
      <c r="AO86" s="155"/>
      <c r="AP86" s="154"/>
      <c r="AQ86" s="155"/>
      <c r="AR86" s="85"/>
      <c r="AS86" s="157"/>
      <c r="AT86" s="154"/>
      <c r="AU86" s="159"/>
      <c r="AV86" s="159"/>
      <c r="AW86" s="159"/>
      <c r="AX86" s="159"/>
      <c r="AY86" s="159"/>
      <c r="AZ86" s="159"/>
      <c r="BA86" s="155"/>
      <c r="BB86" s="154"/>
      <c r="BC86" s="155"/>
      <c r="BD86" s="154"/>
      <c r="BE86" s="155"/>
      <c r="BF86" s="85"/>
      <c r="BG86" s="157"/>
      <c r="BH86" s="154"/>
      <c r="BI86" s="159"/>
      <c r="BJ86" s="159"/>
      <c r="BK86" s="159"/>
      <c r="BL86" s="159"/>
      <c r="BM86" s="159"/>
      <c r="BN86" s="159"/>
      <c r="BO86" s="155"/>
      <c r="BP86" s="154"/>
      <c r="BQ86" s="155"/>
      <c r="BR86" s="154"/>
      <c r="BS86" s="155"/>
      <c r="BT86" s="85"/>
      <c r="BU86" s="157"/>
      <c r="BV86" s="154"/>
      <c r="BW86" s="159"/>
      <c r="BX86" s="159"/>
      <c r="BY86" s="159"/>
      <c r="BZ86" s="159"/>
      <c r="CA86" s="159"/>
      <c r="CB86" s="159"/>
      <c r="CC86" s="155"/>
      <c r="CD86" s="165"/>
      <c r="CE86" s="166"/>
      <c r="CF86" s="165"/>
      <c r="CG86" s="166"/>
      <c r="CH86" s="49"/>
      <c r="CI86" s="167"/>
      <c r="CJ86" s="54"/>
      <c r="CK86" s="134"/>
      <c r="CL86" s="135"/>
      <c r="CM86" s="135"/>
      <c r="CN86" s="135"/>
      <c r="CO86" s="136"/>
    </row>
    <row r="87" spans="1:143" s="32" customFormat="1" ht="12.95" customHeight="1" x14ac:dyDescent="0.2">
      <c r="A87" s="167"/>
      <c r="B87" s="45"/>
      <c r="C87" s="156">
        <v>2230</v>
      </c>
      <c r="D87" s="152" t="s">
        <v>200</v>
      </c>
      <c r="E87" s="158"/>
      <c r="F87" s="158"/>
      <c r="G87" s="158"/>
      <c r="H87" s="158"/>
      <c r="I87" s="158"/>
      <c r="J87" s="158"/>
      <c r="K87" s="153"/>
      <c r="L87" s="152" t="s">
        <v>201</v>
      </c>
      <c r="M87" s="153"/>
      <c r="N87" s="152" t="s">
        <v>123</v>
      </c>
      <c r="O87" s="153"/>
      <c r="P87" s="85"/>
      <c r="Q87" s="156">
        <v>2230</v>
      </c>
      <c r="R87" s="152" t="s">
        <v>200</v>
      </c>
      <c r="S87" s="158"/>
      <c r="T87" s="158"/>
      <c r="U87" s="158"/>
      <c r="V87" s="158"/>
      <c r="W87" s="158"/>
      <c r="X87" s="158"/>
      <c r="Y87" s="153"/>
      <c r="Z87" s="152" t="s">
        <v>201</v>
      </c>
      <c r="AA87" s="153"/>
      <c r="AB87" s="152" t="s">
        <v>123</v>
      </c>
      <c r="AC87" s="153"/>
      <c r="AD87" s="85"/>
      <c r="AE87" s="156">
        <v>2230</v>
      </c>
      <c r="AF87" s="152" t="s">
        <v>200</v>
      </c>
      <c r="AG87" s="158"/>
      <c r="AH87" s="158"/>
      <c r="AI87" s="158"/>
      <c r="AJ87" s="158"/>
      <c r="AK87" s="158"/>
      <c r="AL87" s="158"/>
      <c r="AM87" s="153"/>
      <c r="AN87" s="152" t="s">
        <v>201</v>
      </c>
      <c r="AO87" s="153"/>
      <c r="AP87" s="152" t="s">
        <v>123</v>
      </c>
      <c r="AQ87" s="153"/>
      <c r="AR87" s="85"/>
      <c r="AS87" s="156">
        <v>2230</v>
      </c>
      <c r="AT87" s="152" t="s">
        <v>200</v>
      </c>
      <c r="AU87" s="158"/>
      <c r="AV87" s="158"/>
      <c r="AW87" s="158"/>
      <c r="AX87" s="158"/>
      <c r="AY87" s="158"/>
      <c r="AZ87" s="158"/>
      <c r="BA87" s="153"/>
      <c r="BB87" s="152" t="s">
        <v>201</v>
      </c>
      <c r="BC87" s="153"/>
      <c r="BD87" s="152" t="s">
        <v>123</v>
      </c>
      <c r="BE87" s="153"/>
      <c r="BF87" s="85"/>
      <c r="BG87" s="156">
        <v>2230</v>
      </c>
      <c r="BH87" s="152" t="s">
        <v>200</v>
      </c>
      <c r="BI87" s="158"/>
      <c r="BJ87" s="158"/>
      <c r="BK87" s="158"/>
      <c r="BL87" s="158"/>
      <c r="BM87" s="158"/>
      <c r="BN87" s="158"/>
      <c r="BO87" s="153"/>
      <c r="BP87" s="152" t="s">
        <v>201</v>
      </c>
      <c r="BQ87" s="153"/>
      <c r="BR87" s="152" t="s">
        <v>123</v>
      </c>
      <c r="BS87" s="153"/>
      <c r="BT87" s="85"/>
      <c r="BU87" s="156"/>
      <c r="BV87" s="152"/>
      <c r="BW87" s="158"/>
      <c r="BX87" s="158"/>
      <c r="BY87" s="158"/>
      <c r="BZ87" s="158"/>
      <c r="CA87" s="158"/>
      <c r="CB87" s="158"/>
      <c r="CC87" s="153"/>
      <c r="CD87" s="163"/>
      <c r="CE87" s="164"/>
      <c r="CF87" s="163"/>
      <c r="CG87" s="164"/>
      <c r="CH87" s="49"/>
      <c r="CI87" s="167"/>
      <c r="CJ87" s="54"/>
      <c r="CK87" s="134"/>
      <c r="CL87" s="135"/>
      <c r="CM87" s="135"/>
      <c r="CN87" s="135"/>
      <c r="CO87" s="136"/>
    </row>
    <row r="88" spans="1:143" s="32" customFormat="1" ht="12.95" customHeight="1" x14ac:dyDescent="0.2">
      <c r="A88" s="167"/>
      <c r="B88" s="45"/>
      <c r="C88" s="157"/>
      <c r="D88" s="154"/>
      <c r="E88" s="159"/>
      <c r="F88" s="159"/>
      <c r="G88" s="159"/>
      <c r="H88" s="159"/>
      <c r="I88" s="159"/>
      <c r="J88" s="159"/>
      <c r="K88" s="155"/>
      <c r="L88" s="154"/>
      <c r="M88" s="155"/>
      <c r="N88" s="154"/>
      <c r="O88" s="155"/>
      <c r="P88" s="85"/>
      <c r="Q88" s="157"/>
      <c r="R88" s="154"/>
      <c r="S88" s="159"/>
      <c r="T88" s="159"/>
      <c r="U88" s="159"/>
      <c r="V88" s="159"/>
      <c r="W88" s="159"/>
      <c r="X88" s="159"/>
      <c r="Y88" s="155"/>
      <c r="Z88" s="154"/>
      <c r="AA88" s="155"/>
      <c r="AB88" s="154"/>
      <c r="AC88" s="155"/>
      <c r="AD88" s="85"/>
      <c r="AE88" s="157"/>
      <c r="AF88" s="154"/>
      <c r="AG88" s="159"/>
      <c r="AH88" s="159"/>
      <c r="AI88" s="159"/>
      <c r="AJ88" s="159"/>
      <c r="AK88" s="159"/>
      <c r="AL88" s="159"/>
      <c r="AM88" s="155"/>
      <c r="AN88" s="154"/>
      <c r="AO88" s="155"/>
      <c r="AP88" s="154"/>
      <c r="AQ88" s="155"/>
      <c r="AR88" s="85"/>
      <c r="AS88" s="157"/>
      <c r="AT88" s="154"/>
      <c r="AU88" s="159"/>
      <c r="AV88" s="159"/>
      <c r="AW88" s="159"/>
      <c r="AX88" s="159"/>
      <c r="AY88" s="159"/>
      <c r="AZ88" s="159"/>
      <c r="BA88" s="155"/>
      <c r="BB88" s="154"/>
      <c r="BC88" s="155"/>
      <c r="BD88" s="154"/>
      <c r="BE88" s="155"/>
      <c r="BF88" s="85"/>
      <c r="BG88" s="157"/>
      <c r="BH88" s="154"/>
      <c r="BI88" s="159"/>
      <c r="BJ88" s="159"/>
      <c r="BK88" s="159"/>
      <c r="BL88" s="159"/>
      <c r="BM88" s="159"/>
      <c r="BN88" s="159"/>
      <c r="BO88" s="155"/>
      <c r="BP88" s="154"/>
      <c r="BQ88" s="155"/>
      <c r="BR88" s="154"/>
      <c r="BS88" s="155"/>
      <c r="BT88" s="85"/>
      <c r="BU88" s="157"/>
      <c r="BV88" s="154"/>
      <c r="BW88" s="159"/>
      <c r="BX88" s="159"/>
      <c r="BY88" s="159"/>
      <c r="BZ88" s="159"/>
      <c r="CA88" s="159"/>
      <c r="CB88" s="159"/>
      <c r="CC88" s="155"/>
      <c r="CD88" s="165"/>
      <c r="CE88" s="166"/>
      <c r="CF88" s="165"/>
      <c r="CG88" s="166"/>
      <c r="CH88" s="49"/>
      <c r="CI88" s="167"/>
      <c r="CJ88" s="54"/>
      <c r="CK88" s="134"/>
      <c r="CL88" s="135"/>
      <c r="CM88" s="135"/>
      <c r="CN88" s="135"/>
      <c r="CO88" s="136"/>
    </row>
    <row r="89" spans="1:143" s="32" customFormat="1" ht="12.95" customHeight="1" x14ac:dyDescent="0.2">
      <c r="A89" s="167"/>
      <c r="B89" s="45"/>
      <c r="C89" s="285"/>
      <c r="D89" s="152"/>
      <c r="E89" s="158"/>
      <c r="F89" s="158"/>
      <c r="G89" s="158"/>
      <c r="H89" s="158"/>
      <c r="I89" s="158"/>
      <c r="J89" s="158"/>
      <c r="K89" s="153"/>
      <c r="L89" s="152"/>
      <c r="M89" s="153"/>
      <c r="N89" s="152"/>
      <c r="O89" s="153"/>
      <c r="P89" s="85"/>
      <c r="Q89" s="280"/>
      <c r="R89" s="152"/>
      <c r="S89" s="158"/>
      <c r="T89" s="158"/>
      <c r="U89" s="158"/>
      <c r="V89" s="158"/>
      <c r="W89" s="158"/>
      <c r="X89" s="158"/>
      <c r="Y89" s="153"/>
      <c r="Z89" s="152"/>
      <c r="AA89" s="153"/>
      <c r="AB89" s="152"/>
      <c r="AC89" s="153"/>
      <c r="AD89" s="85"/>
      <c r="AE89" s="156"/>
      <c r="AF89" s="152"/>
      <c r="AG89" s="158"/>
      <c r="AH89" s="158"/>
      <c r="AI89" s="158"/>
      <c r="AJ89" s="158"/>
      <c r="AK89" s="158"/>
      <c r="AL89" s="158"/>
      <c r="AM89" s="153"/>
      <c r="AN89" s="163"/>
      <c r="AO89" s="164"/>
      <c r="AP89" s="163"/>
      <c r="AQ89" s="164"/>
      <c r="AR89" s="85"/>
      <c r="AS89" s="156"/>
      <c r="AT89" s="152"/>
      <c r="AU89" s="158"/>
      <c r="AV89" s="158"/>
      <c r="AW89" s="158"/>
      <c r="AX89" s="158"/>
      <c r="AY89" s="158"/>
      <c r="AZ89" s="158"/>
      <c r="BA89" s="153"/>
      <c r="BB89" s="163"/>
      <c r="BC89" s="164"/>
      <c r="BD89" s="163"/>
      <c r="BE89" s="164"/>
      <c r="BF89" s="85"/>
      <c r="BG89" s="156"/>
      <c r="BH89" s="152"/>
      <c r="BI89" s="158"/>
      <c r="BJ89" s="158"/>
      <c r="BK89" s="158"/>
      <c r="BL89" s="158"/>
      <c r="BM89" s="158"/>
      <c r="BN89" s="158"/>
      <c r="BO89" s="153"/>
      <c r="BP89" s="163"/>
      <c r="BQ89" s="164"/>
      <c r="BR89" s="163"/>
      <c r="BS89" s="164"/>
      <c r="BT89" s="85"/>
      <c r="BU89" s="156"/>
      <c r="BV89" s="152"/>
      <c r="BW89" s="158"/>
      <c r="BX89" s="158"/>
      <c r="BY89" s="158"/>
      <c r="BZ89" s="158"/>
      <c r="CA89" s="158"/>
      <c r="CB89" s="158"/>
      <c r="CC89" s="153"/>
      <c r="CD89" s="163"/>
      <c r="CE89" s="164"/>
      <c r="CF89" s="163"/>
      <c r="CG89" s="164"/>
      <c r="CH89" s="49"/>
      <c r="CI89" s="167"/>
      <c r="CJ89" s="54"/>
      <c r="CK89" s="134"/>
      <c r="CL89" s="135"/>
      <c r="CM89" s="135"/>
      <c r="CN89" s="135"/>
      <c r="CO89" s="136"/>
    </row>
    <row r="90" spans="1:143" s="32" customFormat="1" ht="12.95" customHeight="1" x14ac:dyDescent="0.2">
      <c r="A90" s="167"/>
      <c r="B90" s="45"/>
      <c r="C90" s="281"/>
      <c r="D90" s="154"/>
      <c r="E90" s="159"/>
      <c r="F90" s="159"/>
      <c r="G90" s="159"/>
      <c r="H90" s="159"/>
      <c r="I90" s="159"/>
      <c r="J90" s="159"/>
      <c r="K90" s="155"/>
      <c r="L90" s="154"/>
      <c r="M90" s="155"/>
      <c r="N90" s="154"/>
      <c r="O90" s="155"/>
      <c r="P90" s="85"/>
      <c r="Q90" s="281"/>
      <c r="R90" s="154"/>
      <c r="S90" s="159"/>
      <c r="T90" s="159"/>
      <c r="U90" s="159"/>
      <c r="V90" s="159"/>
      <c r="W90" s="159"/>
      <c r="X90" s="159"/>
      <c r="Y90" s="155"/>
      <c r="Z90" s="154"/>
      <c r="AA90" s="155"/>
      <c r="AB90" s="154"/>
      <c r="AC90" s="155"/>
      <c r="AD90" s="85"/>
      <c r="AE90" s="157"/>
      <c r="AF90" s="154"/>
      <c r="AG90" s="159"/>
      <c r="AH90" s="159"/>
      <c r="AI90" s="159"/>
      <c r="AJ90" s="159"/>
      <c r="AK90" s="159"/>
      <c r="AL90" s="159"/>
      <c r="AM90" s="155"/>
      <c r="AN90" s="165"/>
      <c r="AO90" s="166"/>
      <c r="AP90" s="165"/>
      <c r="AQ90" s="166"/>
      <c r="AR90" s="85"/>
      <c r="AS90" s="157"/>
      <c r="AT90" s="154"/>
      <c r="AU90" s="159"/>
      <c r="AV90" s="159"/>
      <c r="AW90" s="159"/>
      <c r="AX90" s="159"/>
      <c r="AY90" s="159"/>
      <c r="AZ90" s="159"/>
      <c r="BA90" s="155"/>
      <c r="BB90" s="165"/>
      <c r="BC90" s="166"/>
      <c r="BD90" s="165"/>
      <c r="BE90" s="166"/>
      <c r="BF90" s="85"/>
      <c r="BG90" s="157"/>
      <c r="BH90" s="154"/>
      <c r="BI90" s="159"/>
      <c r="BJ90" s="159"/>
      <c r="BK90" s="159"/>
      <c r="BL90" s="159"/>
      <c r="BM90" s="159"/>
      <c r="BN90" s="159"/>
      <c r="BO90" s="155"/>
      <c r="BP90" s="165"/>
      <c r="BQ90" s="166"/>
      <c r="BR90" s="165"/>
      <c r="BS90" s="166"/>
      <c r="BT90" s="85"/>
      <c r="BU90" s="157"/>
      <c r="BV90" s="154"/>
      <c r="BW90" s="159"/>
      <c r="BX90" s="159"/>
      <c r="BY90" s="159"/>
      <c r="BZ90" s="159"/>
      <c r="CA90" s="159"/>
      <c r="CB90" s="159"/>
      <c r="CC90" s="155"/>
      <c r="CD90" s="165"/>
      <c r="CE90" s="166"/>
      <c r="CF90" s="165"/>
      <c r="CG90" s="166"/>
      <c r="CH90" s="49"/>
      <c r="CI90" s="167"/>
      <c r="CJ90" s="54"/>
      <c r="CK90" s="134"/>
      <c r="CL90" s="135"/>
      <c r="CM90" s="135"/>
      <c r="CN90" s="135"/>
      <c r="CO90" s="136"/>
    </row>
    <row r="91" spans="1:143" s="32" customFormat="1" ht="12.95" customHeight="1" x14ac:dyDescent="0.2">
      <c r="A91" s="167"/>
      <c r="B91" s="45"/>
      <c r="C91" s="156"/>
      <c r="D91" s="152"/>
      <c r="E91" s="158"/>
      <c r="F91" s="158"/>
      <c r="G91" s="158"/>
      <c r="H91" s="158"/>
      <c r="I91" s="158"/>
      <c r="J91" s="158"/>
      <c r="K91" s="153"/>
      <c r="L91" s="163"/>
      <c r="M91" s="164"/>
      <c r="N91" s="163"/>
      <c r="O91" s="164"/>
      <c r="P91" s="85"/>
      <c r="Q91" s="282"/>
      <c r="R91" s="152"/>
      <c r="S91" s="158"/>
      <c r="T91" s="158"/>
      <c r="U91" s="158"/>
      <c r="V91" s="158"/>
      <c r="W91" s="158"/>
      <c r="X91" s="158"/>
      <c r="Y91" s="153"/>
      <c r="Z91" s="163"/>
      <c r="AA91" s="164"/>
      <c r="AB91" s="163"/>
      <c r="AC91" s="164"/>
      <c r="AD91" s="85"/>
      <c r="AE91" s="156"/>
      <c r="AF91" s="152"/>
      <c r="AG91" s="158"/>
      <c r="AH91" s="158"/>
      <c r="AI91" s="158"/>
      <c r="AJ91" s="158"/>
      <c r="AK91" s="158"/>
      <c r="AL91" s="158"/>
      <c r="AM91" s="153"/>
      <c r="AN91" s="163"/>
      <c r="AO91" s="164"/>
      <c r="AP91" s="163"/>
      <c r="AQ91" s="164"/>
      <c r="AR91" s="85"/>
      <c r="AS91" s="156"/>
      <c r="AT91" s="152"/>
      <c r="AU91" s="158"/>
      <c r="AV91" s="158"/>
      <c r="AW91" s="158"/>
      <c r="AX91" s="158"/>
      <c r="AY91" s="158"/>
      <c r="AZ91" s="158"/>
      <c r="BA91" s="153"/>
      <c r="BB91" s="163"/>
      <c r="BC91" s="164"/>
      <c r="BD91" s="163"/>
      <c r="BE91" s="164"/>
      <c r="BF91" s="85"/>
      <c r="BG91" s="156"/>
      <c r="BH91" s="152"/>
      <c r="BI91" s="158"/>
      <c r="BJ91" s="158"/>
      <c r="BK91" s="158"/>
      <c r="BL91" s="158"/>
      <c r="BM91" s="158"/>
      <c r="BN91" s="158"/>
      <c r="BO91" s="153"/>
      <c r="BP91" s="163"/>
      <c r="BQ91" s="164"/>
      <c r="BR91" s="163"/>
      <c r="BS91" s="164"/>
      <c r="BT91" s="85"/>
      <c r="BU91" s="156"/>
      <c r="BV91" s="152"/>
      <c r="BW91" s="158"/>
      <c r="BX91" s="158"/>
      <c r="BY91" s="158"/>
      <c r="BZ91" s="158"/>
      <c r="CA91" s="158"/>
      <c r="CB91" s="158"/>
      <c r="CC91" s="153"/>
      <c r="CD91" s="163"/>
      <c r="CE91" s="164"/>
      <c r="CF91" s="163"/>
      <c r="CG91" s="164"/>
      <c r="CH91" s="49"/>
      <c r="CI91" s="167"/>
      <c r="CJ91" s="54"/>
      <c r="CK91" s="134"/>
      <c r="CL91" s="135"/>
      <c r="CM91" s="135"/>
      <c r="CN91" s="135"/>
      <c r="CO91" s="136"/>
    </row>
    <row r="92" spans="1:143" s="32" customFormat="1" ht="12.95" customHeight="1" x14ac:dyDescent="0.2">
      <c r="A92" s="168"/>
      <c r="B92" s="92"/>
      <c r="C92" s="157"/>
      <c r="D92" s="154"/>
      <c r="E92" s="159"/>
      <c r="F92" s="159"/>
      <c r="G92" s="159"/>
      <c r="H92" s="159"/>
      <c r="I92" s="159"/>
      <c r="J92" s="159"/>
      <c r="K92" s="155"/>
      <c r="L92" s="165"/>
      <c r="M92" s="166"/>
      <c r="N92" s="165"/>
      <c r="O92" s="166"/>
      <c r="P92" s="85"/>
      <c r="Q92" s="283"/>
      <c r="R92" s="154"/>
      <c r="S92" s="159"/>
      <c r="T92" s="159"/>
      <c r="U92" s="159"/>
      <c r="V92" s="159"/>
      <c r="W92" s="159"/>
      <c r="X92" s="159"/>
      <c r="Y92" s="155"/>
      <c r="Z92" s="165"/>
      <c r="AA92" s="166"/>
      <c r="AB92" s="165"/>
      <c r="AC92" s="166"/>
      <c r="AD92" s="85"/>
      <c r="AE92" s="157"/>
      <c r="AF92" s="154"/>
      <c r="AG92" s="159"/>
      <c r="AH92" s="159"/>
      <c r="AI92" s="159"/>
      <c r="AJ92" s="159"/>
      <c r="AK92" s="159"/>
      <c r="AL92" s="159"/>
      <c r="AM92" s="155"/>
      <c r="AN92" s="165"/>
      <c r="AO92" s="166"/>
      <c r="AP92" s="165"/>
      <c r="AQ92" s="166"/>
      <c r="AR92" s="85"/>
      <c r="AS92" s="157"/>
      <c r="AT92" s="154"/>
      <c r="AU92" s="159"/>
      <c r="AV92" s="159"/>
      <c r="AW92" s="159"/>
      <c r="AX92" s="159"/>
      <c r="AY92" s="159"/>
      <c r="AZ92" s="159"/>
      <c r="BA92" s="155"/>
      <c r="BB92" s="165"/>
      <c r="BC92" s="166"/>
      <c r="BD92" s="165"/>
      <c r="BE92" s="166"/>
      <c r="BF92" s="85"/>
      <c r="BG92" s="157"/>
      <c r="BH92" s="154"/>
      <c r="BI92" s="159"/>
      <c r="BJ92" s="159"/>
      <c r="BK92" s="159"/>
      <c r="BL92" s="159"/>
      <c r="BM92" s="159"/>
      <c r="BN92" s="159"/>
      <c r="BO92" s="155"/>
      <c r="BP92" s="165"/>
      <c r="BQ92" s="166"/>
      <c r="BR92" s="165"/>
      <c r="BS92" s="166"/>
      <c r="BT92" s="85"/>
      <c r="BU92" s="157"/>
      <c r="BV92" s="154"/>
      <c r="BW92" s="159"/>
      <c r="BX92" s="159"/>
      <c r="BY92" s="159"/>
      <c r="BZ92" s="159"/>
      <c r="CA92" s="159"/>
      <c r="CB92" s="159"/>
      <c r="CC92" s="155"/>
      <c r="CD92" s="165"/>
      <c r="CE92" s="166"/>
      <c r="CF92" s="165"/>
      <c r="CG92" s="166"/>
      <c r="CH92" s="50"/>
      <c r="CI92" s="168"/>
      <c r="CJ92" s="54"/>
      <c r="CK92" s="134"/>
      <c r="CL92" s="135"/>
      <c r="CM92" s="135"/>
      <c r="CN92" s="135"/>
      <c r="CO92" s="136"/>
    </row>
    <row r="93" spans="1:143" ht="12.95" customHeight="1" x14ac:dyDescent="0.2">
      <c r="A93" s="160" t="s">
        <v>2</v>
      </c>
      <c r="B93" s="93"/>
      <c r="C93" s="140" t="s">
        <v>59</v>
      </c>
      <c r="D93" s="141"/>
      <c r="E93" s="141"/>
      <c r="F93" s="141"/>
      <c r="G93" s="124"/>
      <c r="H93" s="124"/>
      <c r="I93" s="124"/>
      <c r="J93" s="124"/>
      <c r="K93" s="149" t="s">
        <v>135</v>
      </c>
      <c r="L93" s="150"/>
      <c r="M93" s="150"/>
      <c r="N93" s="150"/>
      <c r="O93" s="151"/>
      <c r="P93" s="123"/>
      <c r="Q93" s="149" t="s">
        <v>59</v>
      </c>
      <c r="R93" s="150"/>
      <c r="S93" s="150"/>
      <c r="T93" s="150"/>
      <c r="U93" s="150"/>
      <c r="V93" s="150"/>
      <c r="W93" s="150"/>
      <c r="X93" s="151"/>
      <c r="Y93" s="149" t="s">
        <v>135</v>
      </c>
      <c r="Z93" s="150"/>
      <c r="AA93" s="150"/>
      <c r="AB93" s="150"/>
      <c r="AC93" s="151"/>
      <c r="AD93" s="123"/>
      <c r="AE93" s="149" t="s">
        <v>59</v>
      </c>
      <c r="AF93" s="150"/>
      <c r="AG93" s="150"/>
      <c r="AH93" s="150"/>
      <c r="AI93" s="150"/>
      <c r="AJ93" s="150"/>
      <c r="AK93" s="150"/>
      <c r="AL93" s="151"/>
      <c r="AM93" s="149" t="s">
        <v>135</v>
      </c>
      <c r="AN93" s="150"/>
      <c r="AO93" s="150"/>
      <c r="AP93" s="150"/>
      <c r="AQ93" s="151"/>
      <c r="AR93" s="123"/>
      <c r="AS93" s="149" t="s">
        <v>59</v>
      </c>
      <c r="AT93" s="150"/>
      <c r="AU93" s="150"/>
      <c r="AV93" s="150"/>
      <c r="AW93" s="150"/>
      <c r="AX93" s="150"/>
      <c r="AY93" s="150"/>
      <c r="AZ93" s="151"/>
      <c r="BA93" s="149" t="s">
        <v>135</v>
      </c>
      <c r="BB93" s="150"/>
      <c r="BC93" s="150"/>
      <c r="BD93" s="150"/>
      <c r="BE93" s="151"/>
      <c r="BF93" s="123"/>
      <c r="BG93" s="149" t="s">
        <v>59</v>
      </c>
      <c r="BH93" s="150"/>
      <c r="BI93" s="150"/>
      <c r="BJ93" s="150"/>
      <c r="BK93" s="150"/>
      <c r="BL93" s="150"/>
      <c r="BM93" s="150"/>
      <c r="BN93" s="151"/>
      <c r="BO93" s="149" t="s">
        <v>135</v>
      </c>
      <c r="BP93" s="150"/>
      <c r="BQ93" s="150"/>
      <c r="BR93" s="150"/>
      <c r="BS93" s="151"/>
      <c r="BT93" s="123"/>
      <c r="BU93" s="149"/>
      <c r="BV93" s="150"/>
      <c r="BW93" s="150"/>
      <c r="BX93" s="150"/>
      <c r="BY93" s="150"/>
      <c r="BZ93" s="150"/>
      <c r="CA93" s="150"/>
      <c r="CB93" s="151"/>
      <c r="CC93" s="149" t="s">
        <v>135</v>
      </c>
      <c r="CD93" s="150"/>
      <c r="CE93" s="150"/>
      <c r="CF93" s="150"/>
      <c r="CG93" s="151"/>
      <c r="CH93" s="65"/>
      <c r="CI93" s="160" t="s">
        <v>2</v>
      </c>
      <c r="CJ93" s="55"/>
      <c r="CK93" s="134"/>
      <c r="CL93" s="135"/>
      <c r="CM93" s="135"/>
      <c r="CN93" s="135"/>
      <c r="CO93" s="136"/>
    </row>
    <row r="94" spans="1:143" ht="12.95" customHeight="1" x14ac:dyDescent="0.2">
      <c r="A94" s="161"/>
      <c r="B94" s="46"/>
      <c r="C94" s="140" t="s">
        <v>60</v>
      </c>
      <c r="D94" s="141"/>
      <c r="E94" s="141"/>
      <c r="F94" s="142"/>
      <c r="G94" s="124"/>
      <c r="H94" s="124"/>
      <c r="I94" s="124"/>
      <c r="J94" s="124"/>
      <c r="K94" s="143" t="s">
        <v>172</v>
      </c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CB94" s="144"/>
      <c r="CC94" s="144"/>
      <c r="CD94" s="144"/>
      <c r="CE94" s="144"/>
      <c r="CF94" s="144"/>
      <c r="CG94" s="145"/>
      <c r="CH94" s="66"/>
      <c r="CI94" s="161"/>
      <c r="CJ94" s="55"/>
      <c r="CK94" s="134"/>
      <c r="CL94" s="135"/>
      <c r="CM94" s="135"/>
      <c r="CN94" s="135"/>
      <c r="CO94" s="136"/>
    </row>
    <row r="95" spans="1:143" ht="12.95" customHeight="1" x14ac:dyDescent="0.2">
      <c r="A95" s="161"/>
      <c r="B95" s="46"/>
      <c r="C95" s="140" t="s">
        <v>8</v>
      </c>
      <c r="D95" s="141"/>
      <c r="E95" s="141"/>
      <c r="F95" s="142"/>
      <c r="G95" s="124"/>
      <c r="H95" s="124"/>
      <c r="I95" s="124"/>
      <c r="J95" s="124"/>
      <c r="K95" s="143" t="s">
        <v>187</v>
      </c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5"/>
      <c r="CH95" s="66"/>
      <c r="CI95" s="161"/>
      <c r="CJ95" s="55"/>
      <c r="CK95" s="134"/>
      <c r="CL95" s="135"/>
      <c r="CM95" s="135"/>
      <c r="CN95" s="135"/>
      <c r="CO95" s="136"/>
    </row>
    <row r="96" spans="1:143" ht="12.95" customHeight="1" x14ac:dyDescent="0.2">
      <c r="A96" s="162"/>
      <c r="B96" s="47"/>
      <c r="C96" s="146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  <c r="CC96" s="147"/>
      <c r="CD96" s="147"/>
      <c r="CE96" s="147"/>
      <c r="CF96" s="147"/>
      <c r="CG96" s="148"/>
      <c r="CH96" s="67"/>
      <c r="CI96" s="162"/>
      <c r="CJ96" s="56"/>
      <c r="CK96" s="137"/>
      <c r="CL96" s="138"/>
      <c r="CM96" s="138"/>
      <c r="CN96" s="138"/>
      <c r="CO96" s="139"/>
    </row>
  </sheetData>
  <sheetProtection formatCells="0" selectLockedCells="1"/>
  <mergeCells count="338">
    <mergeCell ref="A5:A6"/>
    <mergeCell ref="C5:O5"/>
    <mergeCell ref="Q5:AC5"/>
    <mergeCell ref="AE5:AQ5"/>
    <mergeCell ref="AS5:BE5"/>
    <mergeCell ref="BG5:BS5"/>
    <mergeCell ref="A1:CO1"/>
    <mergeCell ref="G2:CM2"/>
    <mergeCell ref="CN2:CO2"/>
    <mergeCell ref="H3:I3"/>
    <mergeCell ref="K3:L3"/>
    <mergeCell ref="M3:N3"/>
    <mergeCell ref="U3:Y3"/>
    <mergeCell ref="Z3:AB3"/>
    <mergeCell ref="AC3:AH3"/>
    <mergeCell ref="BU5:CG5"/>
    <mergeCell ref="CI5:CI6"/>
    <mergeCell ref="CK5:CO6"/>
    <mergeCell ref="C6:O6"/>
    <mergeCell ref="Q6:AC6"/>
    <mergeCell ref="AE6:AQ6"/>
    <mergeCell ref="AS6:BE6"/>
    <mergeCell ref="BG6:BS6"/>
    <mergeCell ref="BU6:CG6"/>
    <mergeCell ref="Y7:Z7"/>
    <mergeCell ref="BM7:BN7"/>
    <mergeCell ref="BO7:BP7"/>
    <mergeCell ref="AS7:AT7"/>
    <mergeCell ref="AU7:AV7"/>
    <mergeCell ref="AW7:AX7"/>
    <mergeCell ref="AY7:AZ7"/>
    <mergeCell ref="BA7:BB7"/>
    <mergeCell ref="C7:D7"/>
    <mergeCell ref="E7:F7"/>
    <mergeCell ref="G7:H7"/>
    <mergeCell ref="I7:J7"/>
    <mergeCell ref="K7:L7"/>
    <mergeCell ref="AE7:AF7"/>
    <mergeCell ref="AG7:AH7"/>
    <mergeCell ref="AI7:AJ7"/>
    <mergeCell ref="AK7:AL7"/>
    <mergeCell ref="AM7:AN7"/>
    <mergeCell ref="Q7:R7"/>
    <mergeCell ref="S7:T7"/>
    <mergeCell ref="U7:V7"/>
    <mergeCell ref="N7:O7"/>
    <mergeCell ref="AB7:AC7"/>
    <mergeCell ref="AP7:AQ7"/>
    <mergeCell ref="A16:A19"/>
    <mergeCell ref="CI16:CI19"/>
    <mergeCell ref="CK16:CO17"/>
    <mergeCell ref="CK18:CK19"/>
    <mergeCell ref="CL18:CL19"/>
    <mergeCell ref="CM18:CM19"/>
    <mergeCell ref="CN18:CN19"/>
    <mergeCell ref="CO18:CO19"/>
    <mergeCell ref="CK7:CO7"/>
    <mergeCell ref="A8:A11"/>
    <mergeCell ref="CI8:CI11"/>
    <mergeCell ref="CK8:CO11"/>
    <mergeCell ref="A12:A15"/>
    <mergeCell ref="CI12:CI15"/>
    <mergeCell ref="CK12:CO15"/>
    <mergeCell ref="BU7:BV7"/>
    <mergeCell ref="BW7:BX7"/>
    <mergeCell ref="BY7:BZ7"/>
    <mergeCell ref="CA7:CB7"/>
    <mergeCell ref="CC7:CD7"/>
    <mergeCell ref="BG7:BH7"/>
    <mergeCell ref="BI7:BJ7"/>
    <mergeCell ref="BK7:BL7"/>
    <mergeCell ref="W7:X7"/>
    <mergeCell ref="CO20:CO21"/>
    <mergeCell ref="CK22:CK23"/>
    <mergeCell ref="CL22:CL23"/>
    <mergeCell ref="CM22:CM23"/>
    <mergeCell ref="CN22:CN23"/>
    <mergeCell ref="CO22:CO23"/>
    <mergeCell ref="A20:A23"/>
    <mergeCell ref="CI20:CI23"/>
    <mergeCell ref="CK20:CK21"/>
    <mergeCell ref="CL20:CL21"/>
    <mergeCell ref="CM20:CM21"/>
    <mergeCell ref="CN20:CN21"/>
    <mergeCell ref="CO24:CO25"/>
    <mergeCell ref="CK26:CK27"/>
    <mergeCell ref="CL26:CL27"/>
    <mergeCell ref="CM26:CM27"/>
    <mergeCell ref="CN26:CN27"/>
    <mergeCell ref="CO26:CO27"/>
    <mergeCell ref="A24:A27"/>
    <mergeCell ref="CI24:CI27"/>
    <mergeCell ref="CK24:CK25"/>
    <mergeCell ref="CL24:CL25"/>
    <mergeCell ref="CM24:CM25"/>
    <mergeCell ref="CN24:CN25"/>
    <mergeCell ref="CO28:CO29"/>
    <mergeCell ref="CK30:CK31"/>
    <mergeCell ref="CL30:CL31"/>
    <mergeCell ref="CM30:CM31"/>
    <mergeCell ref="CN30:CN31"/>
    <mergeCell ref="CO30:CO31"/>
    <mergeCell ref="A28:A31"/>
    <mergeCell ref="CI28:CI31"/>
    <mergeCell ref="CK28:CK29"/>
    <mergeCell ref="CL28:CL29"/>
    <mergeCell ref="CM28:CM29"/>
    <mergeCell ref="CN28:CN29"/>
    <mergeCell ref="CO32:CO33"/>
    <mergeCell ref="CK34:CK35"/>
    <mergeCell ref="CL34:CL35"/>
    <mergeCell ref="CM34:CM35"/>
    <mergeCell ref="CN34:CN35"/>
    <mergeCell ref="CO34:CO35"/>
    <mergeCell ref="A32:A35"/>
    <mergeCell ref="CI32:CI35"/>
    <mergeCell ref="CK32:CK33"/>
    <mergeCell ref="CL32:CL33"/>
    <mergeCell ref="CM32:CM33"/>
    <mergeCell ref="CN32:CN33"/>
    <mergeCell ref="A40:A43"/>
    <mergeCell ref="CI40:CI43"/>
    <mergeCell ref="CK40:CK41"/>
    <mergeCell ref="CL40:CL41"/>
    <mergeCell ref="CM40:CM41"/>
    <mergeCell ref="CN40:CN41"/>
    <mergeCell ref="CO36:CO37"/>
    <mergeCell ref="CK38:CK39"/>
    <mergeCell ref="CL38:CL39"/>
    <mergeCell ref="CM38:CM39"/>
    <mergeCell ref="CN38:CN39"/>
    <mergeCell ref="CO38:CO39"/>
    <mergeCell ref="A36:A39"/>
    <mergeCell ref="CI36:CI39"/>
    <mergeCell ref="CK36:CK37"/>
    <mergeCell ref="CL36:CL37"/>
    <mergeCell ref="CM36:CM37"/>
    <mergeCell ref="CN36:CN37"/>
    <mergeCell ref="CO40:CO41"/>
    <mergeCell ref="BU41:CG42"/>
    <mergeCell ref="CK42:CK43"/>
    <mergeCell ref="CL42:CL43"/>
    <mergeCell ref="CM42:CM43"/>
    <mergeCell ref="CN42:CN43"/>
    <mergeCell ref="CO42:CO43"/>
    <mergeCell ref="BU43:CG44"/>
    <mergeCell ref="CO44:CO45"/>
    <mergeCell ref="CO46:CO47"/>
    <mergeCell ref="A48:A51"/>
    <mergeCell ref="CI48:CI51"/>
    <mergeCell ref="CK48:CK49"/>
    <mergeCell ref="CL48:CL49"/>
    <mergeCell ref="CM48:CM49"/>
    <mergeCell ref="CN48:CN49"/>
    <mergeCell ref="CO48:CO49"/>
    <mergeCell ref="CK50:CK51"/>
    <mergeCell ref="CL50:CL51"/>
    <mergeCell ref="A44:A47"/>
    <mergeCell ref="CI44:CI47"/>
    <mergeCell ref="CK44:CK45"/>
    <mergeCell ref="CL44:CL45"/>
    <mergeCell ref="CM44:CM45"/>
    <mergeCell ref="CN44:CN45"/>
    <mergeCell ref="CK46:CK47"/>
    <mergeCell ref="CL46:CL47"/>
    <mergeCell ref="CM46:CM47"/>
    <mergeCell ref="CN46:CN47"/>
    <mergeCell ref="CM50:CM51"/>
    <mergeCell ref="CN50:CN51"/>
    <mergeCell ref="CO50:CO51"/>
    <mergeCell ref="A52:A55"/>
    <mergeCell ref="CI52:CI55"/>
    <mergeCell ref="CK53:CO54"/>
    <mergeCell ref="CK55:CO56"/>
    <mergeCell ref="A56:A59"/>
    <mergeCell ref="CI56:CI59"/>
    <mergeCell ref="CK57:CO58"/>
    <mergeCell ref="CK59:CO60"/>
    <mergeCell ref="A60:A63"/>
    <mergeCell ref="CI60:CI63"/>
    <mergeCell ref="CK61:CO62"/>
    <mergeCell ref="CK63:CO64"/>
    <mergeCell ref="A64:A67"/>
    <mergeCell ref="CI64:CI67"/>
    <mergeCell ref="CK65:CO66"/>
    <mergeCell ref="CK67:CO68"/>
    <mergeCell ref="A68:A71"/>
    <mergeCell ref="CI68:CI71"/>
    <mergeCell ref="CK69:CO70"/>
    <mergeCell ref="CK71:CO72"/>
    <mergeCell ref="A72:A75"/>
    <mergeCell ref="CI72:CI75"/>
    <mergeCell ref="CK73:CO74"/>
    <mergeCell ref="CK75:CO76"/>
    <mergeCell ref="A76:A79"/>
    <mergeCell ref="CI76:CI79"/>
    <mergeCell ref="CK77:CO78"/>
    <mergeCell ref="CK79:CO96"/>
    <mergeCell ref="A80:A83"/>
    <mergeCell ref="CI80:CI83"/>
    <mergeCell ref="D84:K84"/>
    <mergeCell ref="L84:M84"/>
    <mergeCell ref="N84:O84"/>
    <mergeCell ref="R84:Y84"/>
    <mergeCell ref="Z84:AA84"/>
    <mergeCell ref="AB84:AC84"/>
    <mergeCell ref="AF84:AM84"/>
    <mergeCell ref="D85:K86"/>
    <mergeCell ref="L85:M86"/>
    <mergeCell ref="N85:O86"/>
    <mergeCell ref="AN84:AO84"/>
    <mergeCell ref="AP84:AQ84"/>
    <mergeCell ref="AT84:BA84"/>
    <mergeCell ref="BB84:BC84"/>
    <mergeCell ref="BD84:BE84"/>
    <mergeCell ref="BH84:BO84"/>
    <mergeCell ref="Z85:AA86"/>
    <mergeCell ref="AB85:AC86"/>
    <mergeCell ref="AE85:AE86"/>
    <mergeCell ref="AF85:AM86"/>
    <mergeCell ref="BP84:BQ84"/>
    <mergeCell ref="BR84:BS84"/>
    <mergeCell ref="BV84:CC84"/>
    <mergeCell ref="CD84:CE84"/>
    <mergeCell ref="CF84:CG84"/>
    <mergeCell ref="CD85:CE86"/>
    <mergeCell ref="CF85:CG86"/>
    <mergeCell ref="CI85:CI92"/>
    <mergeCell ref="C87:C88"/>
    <mergeCell ref="D87:K88"/>
    <mergeCell ref="L87:M88"/>
    <mergeCell ref="N87:O88"/>
    <mergeCell ref="Q87:Q88"/>
    <mergeCell ref="R87:Y88"/>
    <mergeCell ref="Z87:AA88"/>
    <mergeCell ref="BG85:BG86"/>
    <mergeCell ref="BH85:BO86"/>
    <mergeCell ref="BP85:BQ86"/>
    <mergeCell ref="BR85:BS86"/>
    <mergeCell ref="BU85:BU86"/>
    <mergeCell ref="BV85:CC86"/>
    <mergeCell ref="AN85:AO86"/>
    <mergeCell ref="AP85:AQ86"/>
    <mergeCell ref="AS85:AS86"/>
    <mergeCell ref="AT85:BA86"/>
    <mergeCell ref="BB85:BC86"/>
    <mergeCell ref="BD85:BE86"/>
    <mergeCell ref="Q85:Q86"/>
    <mergeCell ref="R85:Y86"/>
    <mergeCell ref="C89:C90"/>
    <mergeCell ref="D89:K90"/>
    <mergeCell ref="L89:M90"/>
    <mergeCell ref="N89:O90"/>
    <mergeCell ref="AF89:AM90"/>
    <mergeCell ref="AN89:AO90"/>
    <mergeCell ref="AS89:AS90"/>
    <mergeCell ref="AT89:BA90"/>
    <mergeCell ref="BB89:BC90"/>
    <mergeCell ref="BD89:BE90"/>
    <mergeCell ref="BG89:BG90"/>
    <mergeCell ref="R89:Y90"/>
    <mergeCell ref="Z89:AA90"/>
    <mergeCell ref="C91:C92"/>
    <mergeCell ref="D91:K92"/>
    <mergeCell ref="L91:M92"/>
    <mergeCell ref="N91:O92"/>
    <mergeCell ref="Q91:Q92"/>
    <mergeCell ref="R91:Y92"/>
    <mergeCell ref="Z91:AA92"/>
    <mergeCell ref="AB91:AC92"/>
    <mergeCell ref="AE91:AE92"/>
    <mergeCell ref="AF87:AM88"/>
    <mergeCell ref="AN87:AO88"/>
    <mergeCell ref="AP87:AQ88"/>
    <mergeCell ref="AS87:AS88"/>
    <mergeCell ref="AB89:AC90"/>
    <mergeCell ref="AE89:AE90"/>
    <mergeCell ref="BV87:CC88"/>
    <mergeCell ref="CD87:CE88"/>
    <mergeCell ref="CF87:CG88"/>
    <mergeCell ref="BH87:BO88"/>
    <mergeCell ref="BP87:BQ88"/>
    <mergeCell ref="CF89:CG90"/>
    <mergeCell ref="BH89:BO90"/>
    <mergeCell ref="BP89:BQ90"/>
    <mergeCell ref="BR89:BS90"/>
    <mergeCell ref="BU89:BU90"/>
    <mergeCell ref="BV89:CC90"/>
    <mergeCell ref="CD89:CE90"/>
    <mergeCell ref="AP89:AQ90"/>
    <mergeCell ref="A93:A96"/>
    <mergeCell ref="C93:F93"/>
    <mergeCell ref="K93:O93"/>
    <mergeCell ref="Q93:X93"/>
    <mergeCell ref="Y93:AC93"/>
    <mergeCell ref="AE93:AL93"/>
    <mergeCell ref="AM93:AQ93"/>
    <mergeCell ref="BD91:BE92"/>
    <mergeCell ref="BG91:BG92"/>
    <mergeCell ref="AF91:AM92"/>
    <mergeCell ref="AN91:AO92"/>
    <mergeCell ref="AP91:AQ92"/>
    <mergeCell ref="AS91:AS92"/>
    <mergeCell ref="AT91:BA92"/>
    <mergeCell ref="BB91:BC92"/>
    <mergeCell ref="A85:A92"/>
    <mergeCell ref="C85:C86"/>
    <mergeCell ref="Q89:Q90"/>
    <mergeCell ref="AT87:BA88"/>
    <mergeCell ref="BB87:BC88"/>
    <mergeCell ref="BD87:BE88"/>
    <mergeCell ref="BG87:BG88"/>
    <mergeCell ref="AB87:AC88"/>
    <mergeCell ref="AE87:AE88"/>
    <mergeCell ref="BD7:BE7"/>
    <mergeCell ref="BR7:BS7"/>
    <mergeCell ref="CF7:CG7"/>
    <mergeCell ref="CI93:CI96"/>
    <mergeCell ref="C94:F94"/>
    <mergeCell ref="K94:CG94"/>
    <mergeCell ref="C95:F95"/>
    <mergeCell ref="K95:CG95"/>
    <mergeCell ref="C96:CG96"/>
    <mergeCell ref="AS93:AZ93"/>
    <mergeCell ref="BA93:BE93"/>
    <mergeCell ref="BG93:BN93"/>
    <mergeCell ref="BO93:BS93"/>
    <mergeCell ref="BU93:CB93"/>
    <mergeCell ref="CC93:CG93"/>
    <mergeCell ref="BV91:CC92"/>
    <mergeCell ref="CD91:CE92"/>
    <mergeCell ref="CF91:CG92"/>
    <mergeCell ref="BH91:BO92"/>
    <mergeCell ref="BP91:BQ92"/>
    <mergeCell ref="BR91:BS92"/>
    <mergeCell ref="BU91:BU92"/>
    <mergeCell ref="BR87:BS88"/>
    <mergeCell ref="BU87:BU88"/>
  </mergeCells>
  <printOptions horizontalCentered="1" verticalCentered="1"/>
  <pageMargins left="0.27559055118110237" right="0.27559055118110237" top="0.31496062992125984" bottom="0.31496062992125984" header="0.31496062992125984" footer="0.31496062992125984"/>
  <pageSetup paperSize="9" scale="4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M96"/>
  <sheetViews>
    <sheetView view="pageBreakPreview" zoomScale="80" zoomScaleNormal="100" zoomScaleSheetLayoutView="80" zoomScalePageLayoutView="90" workbookViewId="0">
      <pane xSplit="1" ySplit="7" topLeftCell="B16" activePane="bottomRight" state="frozen"/>
      <selection pane="topRight" activeCell="B1" sqref="B1"/>
      <selection pane="bottomLeft" activeCell="A6" sqref="A6"/>
      <selection pane="bottomRight" activeCell="Z41" sqref="Z41"/>
    </sheetView>
  </sheetViews>
  <sheetFormatPr baseColWidth="10" defaultRowHeight="12.75" x14ac:dyDescent="0.2"/>
  <cols>
    <col min="1" max="1" width="5.7109375" style="1" customWidth="1"/>
    <col min="2" max="2" width="0.85546875" style="1" customWidth="1"/>
    <col min="3" max="14" width="3.42578125" style="1" customWidth="1"/>
    <col min="15" max="15" width="3.7109375" style="1" customWidth="1"/>
    <col min="16" max="16" width="0.85546875" style="1" customWidth="1"/>
    <col min="17" max="28" width="3.42578125" style="1" customWidth="1"/>
    <col min="29" max="29" width="3.7109375" style="1" customWidth="1"/>
    <col min="30" max="30" width="0.85546875" style="1" customWidth="1"/>
    <col min="31" max="42" width="3.42578125" style="1" customWidth="1"/>
    <col min="43" max="43" width="3.7109375" style="1" customWidth="1"/>
    <col min="44" max="44" width="0.85546875" style="1" customWidth="1"/>
    <col min="45" max="56" width="3.42578125" style="1" customWidth="1"/>
    <col min="57" max="57" width="3.7109375" style="1" customWidth="1"/>
    <col min="58" max="58" width="0.85546875" style="1" customWidth="1"/>
    <col min="59" max="70" width="3.42578125" style="1" customWidth="1"/>
    <col min="71" max="71" width="3.7109375" style="1" customWidth="1"/>
    <col min="72" max="72" width="0.85546875" style="1" customWidth="1"/>
    <col min="73" max="85" width="3.28515625" style="1" customWidth="1"/>
    <col min="86" max="86" width="0.85546875" style="1" customWidth="1"/>
    <col min="87" max="87" width="5.7109375" style="1" customWidth="1"/>
    <col min="88" max="88" width="0.85546875" style="1" customWidth="1"/>
    <col min="89" max="89" width="2.7109375" style="1" customWidth="1"/>
    <col min="90" max="90" width="3.7109375" style="1" customWidth="1"/>
    <col min="91" max="91" width="18.7109375" style="1" customWidth="1"/>
    <col min="92" max="92" width="11.7109375" style="1" customWidth="1"/>
    <col min="93" max="93" width="4.28515625" style="1" customWidth="1"/>
    <col min="94" max="16384" width="11.42578125" style="1"/>
  </cols>
  <sheetData>
    <row r="1" spans="1:143" ht="18" x14ac:dyDescent="0.25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</row>
    <row r="2" spans="1:143" ht="20.100000000000001" customHeight="1" x14ac:dyDescent="0.25">
      <c r="A2" s="94" t="s">
        <v>99</v>
      </c>
      <c r="B2" s="94"/>
      <c r="C2" s="77"/>
      <c r="D2" s="77"/>
      <c r="E2" s="77"/>
      <c r="F2" s="77"/>
      <c r="G2" s="254" t="s">
        <v>96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  <c r="CG2" s="254"/>
      <c r="CH2" s="254"/>
      <c r="CI2" s="254"/>
      <c r="CJ2" s="254"/>
      <c r="CK2" s="254"/>
      <c r="CL2" s="254"/>
      <c r="CM2" s="254"/>
      <c r="CN2" s="255">
        <f ca="1">TODAY()</f>
        <v>43915</v>
      </c>
      <c r="CO2" s="255"/>
    </row>
    <row r="3" spans="1:143" s="40" customFormat="1" ht="20.100000000000001" customHeight="1" x14ac:dyDescent="0.25">
      <c r="A3" s="80" t="s">
        <v>34</v>
      </c>
      <c r="B3" s="80"/>
      <c r="C3" s="80"/>
      <c r="D3" s="80"/>
      <c r="E3" s="80"/>
      <c r="F3" s="80"/>
      <c r="G3" s="82"/>
      <c r="H3" s="256">
        <v>26</v>
      </c>
      <c r="I3" s="256"/>
      <c r="J3" s="82"/>
      <c r="K3" s="257" t="s">
        <v>94</v>
      </c>
      <c r="L3" s="257"/>
      <c r="M3" s="256">
        <v>3</v>
      </c>
      <c r="N3" s="256"/>
      <c r="O3" s="82"/>
      <c r="P3" s="79"/>
      <c r="Q3" s="82"/>
      <c r="R3" s="82"/>
      <c r="S3" s="80" t="s">
        <v>35</v>
      </c>
      <c r="T3" s="81"/>
      <c r="U3" s="258">
        <v>44004</v>
      </c>
      <c r="V3" s="258"/>
      <c r="W3" s="258"/>
      <c r="X3" s="258"/>
      <c r="Y3" s="258"/>
      <c r="Z3" s="259" t="s">
        <v>36</v>
      </c>
      <c r="AA3" s="259"/>
      <c r="AB3" s="259"/>
      <c r="AC3" s="260">
        <f>U3+6</f>
        <v>44010</v>
      </c>
      <c r="AD3" s="260"/>
      <c r="AE3" s="260"/>
      <c r="AF3" s="260"/>
      <c r="AG3" s="260"/>
      <c r="AH3" s="260"/>
      <c r="AI3" s="73"/>
      <c r="AJ3" s="73"/>
      <c r="AK3" s="74"/>
      <c r="AL3" s="74"/>
      <c r="AM3" s="74"/>
      <c r="AN3" s="75"/>
      <c r="AO3" s="76"/>
      <c r="AP3" s="76"/>
      <c r="AQ3" s="76"/>
      <c r="AR3" s="77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7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5"/>
      <c r="BR3" s="58"/>
      <c r="BS3" s="58"/>
      <c r="BT3" s="77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78"/>
      <c r="CM3" s="78"/>
      <c r="CN3" s="83"/>
      <c r="CO3" s="84" t="s">
        <v>147</v>
      </c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</row>
    <row r="4" spans="1:143" s="40" customFormat="1" ht="5.0999999999999996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6"/>
      <c r="L4" s="97"/>
      <c r="M4" s="97"/>
      <c r="N4" s="95"/>
      <c r="O4" s="95"/>
      <c r="P4" s="98"/>
      <c r="Q4" s="95"/>
      <c r="R4" s="99"/>
      <c r="S4" s="99"/>
      <c r="T4" s="99"/>
      <c r="U4" s="99"/>
      <c r="V4" s="99"/>
      <c r="W4" s="99"/>
      <c r="X4" s="99"/>
      <c r="Y4" s="99"/>
      <c r="Z4" s="100"/>
      <c r="AA4" s="96"/>
      <c r="AB4" s="101"/>
      <c r="AC4" s="101"/>
      <c r="AD4" s="101"/>
      <c r="AE4" s="101"/>
      <c r="AF4" s="101"/>
      <c r="AG4" s="101"/>
      <c r="AH4" s="101"/>
      <c r="AI4" s="101"/>
      <c r="AJ4" s="101"/>
      <c r="AK4" s="95"/>
      <c r="AL4" s="95"/>
      <c r="AM4" s="95"/>
      <c r="AN4" s="102"/>
      <c r="AO4" s="103"/>
      <c r="AP4" s="103"/>
      <c r="AQ4" s="103"/>
      <c r="AR4" s="98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98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02"/>
      <c r="BR4" s="104"/>
      <c r="BS4" s="104"/>
      <c r="BT4" s="98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5"/>
      <c r="CM4" s="105"/>
      <c r="CN4" s="105"/>
      <c r="CO4" s="106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</row>
    <row r="5" spans="1:143" ht="15" customHeight="1" x14ac:dyDescent="0.25">
      <c r="A5" s="248"/>
      <c r="B5" s="43"/>
      <c r="C5" s="250" t="s">
        <v>33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P5" s="70"/>
      <c r="Q5" s="250" t="s">
        <v>93</v>
      </c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2"/>
      <c r="AD5" s="70"/>
      <c r="AE5" s="250" t="s">
        <v>37</v>
      </c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2"/>
      <c r="AR5" s="70"/>
      <c r="AS5" s="250" t="s">
        <v>39</v>
      </c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2"/>
      <c r="BF5" s="70"/>
      <c r="BG5" s="250" t="s">
        <v>40</v>
      </c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2"/>
      <c r="BT5" s="70"/>
      <c r="BU5" s="250" t="s">
        <v>41</v>
      </c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2"/>
      <c r="CH5" s="71"/>
      <c r="CI5" s="248"/>
      <c r="CJ5" s="71"/>
      <c r="CK5" s="187" t="s">
        <v>43</v>
      </c>
      <c r="CL5" s="188"/>
      <c r="CM5" s="188"/>
      <c r="CN5" s="188"/>
      <c r="CO5" s="189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</row>
    <row r="6" spans="1:143" ht="15" customHeight="1" x14ac:dyDescent="0.2">
      <c r="A6" s="249"/>
      <c r="B6" s="90"/>
      <c r="C6" s="261">
        <f>U3</f>
        <v>44004</v>
      </c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3"/>
      <c r="P6" s="85"/>
      <c r="Q6" s="261">
        <f>$U$3+1</f>
        <v>44005</v>
      </c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3"/>
      <c r="AD6" s="85"/>
      <c r="AE6" s="261">
        <f>$U$3+2</f>
        <v>44006</v>
      </c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3"/>
      <c r="AR6" s="85"/>
      <c r="AS6" s="261">
        <f>$U$3+3</f>
        <v>44007</v>
      </c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3"/>
      <c r="BF6" s="85"/>
      <c r="BG6" s="261">
        <f>$U$3+4</f>
        <v>44008</v>
      </c>
      <c r="BH6" s="262"/>
      <c r="BI6" s="262"/>
      <c r="BJ6" s="262"/>
      <c r="BK6" s="262"/>
      <c r="BL6" s="262"/>
      <c r="BM6" s="262"/>
      <c r="BN6" s="262"/>
      <c r="BO6" s="262"/>
      <c r="BP6" s="262"/>
      <c r="BQ6" s="262"/>
      <c r="BR6" s="262"/>
      <c r="BS6" s="263"/>
      <c r="BT6" s="85"/>
      <c r="BU6" s="261">
        <f>$U$3+5</f>
        <v>44009</v>
      </c>
      <c r="BV6" s="262"/>
      <c r="BW6" s="262"/>
      <c r="BX6" s="262"/>
      <c r="BY6" s="262"/>
      <c r="BZ6" s="262"/>
      <c r="CA6" s="262"/>
      <c r="CB6" s="262"/>
      <c r="CC6" s="262"/>
      <c r="CD6" s="262"/>
      <c r="CE6" s="262"/>
      <c r="CF6" s="262"/>
      <c r="CG6" s="263"/>
      <c r="CH6" s="58"/>
      <c r="CI6" s="249"/>
      <c r="CJ6" s="58"/>
      <c r="CK6" s="190"/>
      <c r="CL6" s="191"/>
      <c r="CM6" s="191"/>
      <c r="CN6" s="191"/>
      <c r="CO6" s="19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</row>
    <row r="7" spans="1:143" ht="70.5" customHeight="1" x14ac:dyDescent="0.2">
      <c r="A7" s="39" t="s">
        <v>38</v>
      </c>
      <c r="B7" s="90"/>
      <c r="C7" s="240" t="s">
        <v>118</v>
      </c>
      <c r="D7" s="241"/>
      <c r="E7" s="242" t="s">
        <v>115</v>
      </c>
      <c r="F7" s="241"/>
      <c r="G7" s="243" t="s">
        <v>116</v>
      </c>
      <c r="H7" s="241"/>
      <c r="I7" s="242" t="s">
        <v>117</v>
      </c>
      <c r="J7" s="241"/>
      <c r="K7" s="242"/>
      <c r="L7" s="241"/>
      <c r="M7" s="127"/>
      <c r="N7" s="244" t="s">
        <v>1</v>
      </c>
      <c r="O7" s="245"/>
      <c r="P7" s="57"/>
      <c r="Q7" s="240" t="s">
        <v>118</v>
      </c>
      <c r="R7" s="241"/>
      <c r="S7" s="242" t="s">
        <v>115</v>
      </c>
      <c r="T7" s="241"/>
      <c r="U7" s="243" t="s">
        <v>116</v>
      </c>
      <c r="V7" s="241"/>
      <c r="W7" s="242" t="s">
        <v>117</v>
      </c>
      <c r="X7" s="241"/>
      <c r="Y7" s="242"/>
      <c r="Z7" s="241"/>
      <c r="AA7" s="127"/>
      <c r="AB7" s="244" t="s">
        <v>1</v>
      </c>
      <c r="AC7" s="245"/>
      <c r="AD7" s="57"/>
      <c r="AE7" s="240" t="s">
        <v>118</v>
      </c>
      <c r="AF7" s="241"/>
      <c r="AG7" s="242" t="s">
        <v>115</v>
      </c>
      <c r="AH7" s="241"/>
      <c r="AI7" s="243" t="s">
        <v>116</v>
      </c>
      <c r="AJ7" s="241"/>
      <c r="AK7" s="242" t="s">
        <v>117</v>
      </c>
      <c r="AL7" s="241"/>
      <c r="AM7" s="242"/>
      <c r="AN7" s="241"/>
      <c r="AO7" s="127"/>
      <c r="AP7" s="244" t="s">
        <v>1</v>
      </c>
      <c r="AQ7" s="245"/>
      <c r="AR7" s="57"/>
      <c r="AS7" s="240" t="s">
        <v>118</v>
      </c>
      <c r="AT7" s="241"/>
      <c r="AU7" s="242" t="s">
        <v>115</v>
      </c>
      <c r="AV7" s="241"/>
      <c r="AW7" s="243" t="s">
        <v>116</v>
      </c>
      <c r="AX7" s="241"/>
      <c r="AY7" s="242" t="s">
        <v>117</v>
      </c>
      <c r="AZ7" s="241"/>
      <c r="BA7" s="242"/>
      <c r="BB7" s="241"/>
      <c r="BC7" s="127"/>
      <c r="BD7" s="244" t="s">
        <v>1</v>
      </c>
      <c r="BE7" s="245"/>
      <c r="BF7" s="57"/>
      <c r="BG7" s="240" t="s">
        <v>118</v>
      </c>
      <c r="BH7" s="241"/>
      <c r="BI7" s="242" t="s">
        <v>115</v>
      </c>
      <c r="BJ7" s="241"/>
      <c r="BK7" s="243" t="s">
        <v>116</v>
      </c>
      <c r="BL7" s="241"/>
      <c r="BM7" s="242" t="s">
        <v>117</v>
      </c>
      <c r="BN7" s="241"/>
      <c r="BO7" s="242"/>
      <c r="BP7" s="241"/>
      <c r="BQ7" s="127"/>
      <c r="BR7" s="244" t="s">
        <v>1</v>
      </c>
      <c r="BS7" s="245"/>
      <c r="BT7" s="57"/>
      <c r="BU7" s="240" t="s">
        <v>118</v>
      </c>
      <c r="BV7" s="241"/>
      <c r="BW7" s="242" t="s">
        <v>115</v>
      </c>
      <c r="BX7" s="241"/>
      <c r="BY7" s="243" t="s">
        <v>116</v>
      </c>
      <c r="BZ7" s="241"/>
      <c r="CA7" s="242" t="s">
        <v>117</v>
      </c>
      <c r="CB7" s="241"/>
      <c r="CC7" s="242"/>
      <c r="CD7" s="241"/>
      <c r="CE7" s="127"/>
      <c r="CF7" s="244" t="s">
        <v>1</v>
      </c>
      <c r="CG7" s="245"/>
      <c r="CH7" s="58"/>
      <c r="CI7" s="39" t="s">
        <v>38</v>
      </c>
      <c r="CJ7" s="58"/>
      <c r="CK7" s="301" t="s">
        <v>197</v>
      </c>
      <c r="CL7" s="302"/>
      <c r="CM7" s="302"/>
      <c r="CN7" s="302"/>
      <c r="CO7" s="303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</row>
    <row r="8" spans="1:143" s="4" customFormat="1" ht="11.45" customHeight="1" x14ac:dyDescent="0.2">
      <c r="A8" s="182">
        <v>600</v>
      </c>
      <c r="B8" s="44"/>
      <c r="C8" s="5"/>
      <c r="D8" s="6"/>
      <c r="E8" s="6"/>
      <c r="F8" s="7"/>
      <c r="G8" s="8"/>
      <c r="H8" s="8"/>
      <c r="I8" s="8"/>
      <c r="J8" s="8"/>
      <c r="K8" s="8"/>
      <c r="L8" s="9"/>
      <c r="M8" s="9"/>
      <c r="N8" s="10"/>
      <c r="O8" s="11"/>
      <c r="P8" s="57"/>
      <c r="Q8" s="5"/>
      <c r="R8" s="6"/>
      <c r="S8" s="6"/>
      <c r="T8" s="6"/>
      <c r="U8" s="6"/>
      <c r="V8" s="6"/>
      <c r="W8" s="6"/>
      <c r="X8" s="7"/>
      <c r="Y8" s="8"/>
      <c r="Z8" s="8"/>
      <c r="AA8" s="9"/>
      <c r="AB8" s="10"/>
      <c r="AC8" s="11"/>
      <c r="AD8" s="57"/>
      <c r="AE8" s="5"/>
      <c r="AF8" s="6"/>
      <c r="AG8" s="6"/>
      <c r="AH8" s="6"/>
      <c r="AI8" s="6"/>
      <c r="AJ8" s="6"/>
      <c r="AK8" s="6"/>
      <c r="AL8" s="6"/>
      <c r="AM8" s="7"/>
      <c r="AN8" s="8"/>
      <c r="AO8" s="9"/>
      <c r="AP8" s="10"/>
      <c r="AQ8" s="11"/>
      <c r="AR8" s="57"/>
      <c r="AS8" s="5"/>
      <c r="AT8" s="6"/>
      <c r="AU8" s="6"/>
      <c r="AV8" s="6"/>
      <c r="AW8" s="6"/>
      <c r="AX8" s="6"/>
      <c r="AY8" s="6"/>
      <c r="AZ8" s="7"/>
      <c r="BA8" s="8"/>
      <c r="BB8" s="8"/>
      <c r="BC8" s="9"/>
      <c r="BD8" s="10"/>
      <c r="BE8" s="11"/>
      <c r="BF8" s="57"/>
      <c r="BG8" s="5"/>
      <c r="BH8" s="6"/>
      <c r="BI8" s="6"/>
      <c r="BJ8" s="6"/>
      <c r="BK8" s="6"/>
      <c r="BL8" s="6"/>
      <c r="BM8" s="6"/>
      <c r="BN8" s="6"/>
      <c r="BO8" s="7"/>
      <c r="BP8" s="8"/>
      <c r="BQ8" s="9"/>
      <c r="BR8" s="10"/>
      <c r="BS8" s="11"/>
      <c r="BT8" s="57"/>
      <c r="BU8" s="5"/>
      <c r="BV8" s="6"/>
      <c r="BW8" s="6"/>
      <c r="BX8" s="6"/>
      <c r="BY8" s="6"/>
      <c r="BZ8" s="6"/>
      <c r="CA8" s="6"/>
      <c r="CB8" s="7"/>
      <c r="CC8" s="8"/>
      <c r="CD8" s="8"/>
      <c r="CE8" s="9"/>
      <c r="CF8" s="10"/>
      <c r="CG8" s="11"/>
      <c r="CH8" s="61"/>
      <c r="CI8" s="182">
        <v>600</v>
      </c>
      <c r="CJ8" s="52"/>
      <c r="CK8" s="270" t="s">
        <v>196</v>
      </c>
      <c r="CL8" s="271"/>
      <c r="CM8" s="271"/>
      <c r="CN8" s="271"/>
      <c r="CO8" s="272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</row>
    <row r="9" spans="1:143" s="4" customFormat="1" ht="11.45" customHeight="1" x14ac:dyDescent="0.2">
      <c r="A9" s="182"/>
      <c r="B9" s="44"/>
      <c r="C9" s="12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5"/>
      <c r="P9" s="57"/>
      <c r="Q9" s="12"/>
      <c r="R9" s="13"/>
      <c r="S9" s="13"/>
      <c r="T9" s="13"/>
      <c r="U9" s="13"/>
      <c r="V9" s="13"/>
      <c r="W9" s="13"/>
      <c r="X9" s="14"/>
      <c r="Y9" s="14"/>
      <c r="Z9" s="14"/>
      <c r="AA9" s="14"/>
      <c r="AB9" s="14"/>
      <c r="AC9" s="15"/>
      <c r="AD9" s="57"/>
      <c r="AE9" s="12"/>
      <c r="AF9" s="13"/>
      <c r="AG9" s="13"/>
      <c r="AH9" s="13"/>
      <c r="AI9" s="13"/>
      <c r="AJ9" s="13"/>
      <c r="AK9" s="13"/>
      <c r="AL9" s="13"/>
      <c r="AM9" s="14"/>
      <c r="AN9" s="14"/>
      <c r="AO9" s="14"/>
      <c r="AP9" s="14"/>
      <c r="AQ9" s="15"/>
      <c r="AR9" s="57"/>
      <c r="AS9" s="12"/>
      <c r="AT9" s="13"/>
      <c r="AU9" s="13"/>
      <c r="AV9" s="13"/>
      <c r="AW9" s="13"/>
      <c r="AX9" s="13"/>
      <c r="AY9" s="13"/>
      <c r="AZ9" s="14"/>
      <c r="BA9" s="14"/>
      <c r="BB9" s="14"/>
      <c r="BC9" s="14"/>
      <c r="BD9" s="14"/>
      <c r="BE9" s="15"/>
      <c r="BF9" s="57"/>
      <c r="BG9" s="12"/>
      <c r="BH9" s="13"/>
      <c r="BI9" s="13"/>
      <c r="BJ9" s="13"/>
      <c r="BK9" s="13"/>
      <c r="BL9" s="13"/>
      <c r="BM9" s="13"/>
      <c r="BN9" s="13"/>
      <c r="BO9" s="14"/>
      <c r="BP9" s="14"/>
      <c r="BQ9" s="14"/>
      <c r="BR9" s="14"/>
      <c r="BS9" s="15"/>
      <c r="BT9" s="57"/>
      <c r="BU9" s="12"/>
      <c r="BV9" s="13"/>
      <c r="BW9" s="13"/>
      <c r="BX9" s="13"/>
      <c r="BY9" s="13"/>
      <c r="BZ9" s="13"/>
      <c r="CA9" s="13"/>
      <c r="CB9" s="14"/>
      <c r="CC9" s="14"/>
      <c r="CD9" s="14"/>
      <c r="CE9" s="14"/>
      <c r="CF9" s="14"/>
      <c r="CG9" s="15"/>
      <c r="CH9" s="61"/>
      <c r="CI9" s="182"/>
      <c r="CJ9" s="52"/>
      <c r="CK9" s="273"/>
      <c r="CL9" s="274"/>
      <c r="CM9" s="274"/>
      <c r="CN9" s="274"/>
      <c r="CO9" s="275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</row>
    <row r="10" spans="1:143" s="4" customFormat="1" ht="11.45" customHeight="1" x14ac:dyDescent="0.2">
      <c r="A10" s="182"/>
      <c r="B10" s="44"/>
      <c r="C10" s="5"/>
      <c r="D10" s="6"/>
      <c r="E10" s="6"/>
      <c r="F10" s="7"/>
      <c r="G10" s="8"/>
      <c r="H10" s="8"/>
      <c r="I10" s="8"/>
      <c r="J10" s="8"/>
      <c r="K10" s="8"/>
      <c r="L10" s="9"/>
      <c r="M10" s="9"/>
      <c r="N10" s="10"/>
      <c r="O10" s="11"/>
      <c r="P10" s="57"/>
      <c r="Q10" s="5"/>
      <c r="R10" s="6"/>
      <c r="S10" s="6"/>
      <c r="T10" s="6"/>
      <c r="U10" s="6"/>
      <c r="V10" s="6"/>
      <c r="W10" s="6"/>
      <c r="X10" s="7"/>
      <c r="Y10" s="8"/>
      <c r="Z10" s="8"/>
      <c r="AA10" s="9"/>
      <c r="AB10" s="10"/>
      <c r="AC10" s="11"/>
      <c r="AD10" s="57"/>
      <c r="AE10" s="5"/>
      <c r="AF10" s="6"/>
      <c r="AG10" s="6"/>
      <c r="AH10" s="6"/>
      <c r="AI10" s="6"/>
      <c r="AJ10" s="6"/>
      <c r="AK10" s="6"/>
      <c r="AL10" s="6"/>
      <c r="AM10" s="7"/>
      <c r="AN10" s="8"/>
      <c r="AO10" s="9"/>
      <c r="AP10" s="10"/>
      <c r="AQ10" s="11"/>
      <c r="AR10" s="57"/>
      <c r="AS10" s="5"/>
      <c r="AT10" s="6"/>
      <c r="AU10" s="6"/>
      <c r="AV10" s="6"/>
      <c r="AW10" s="6"/>
      <c r="AX10" s="6"/>
      <c r="AY10" s="6"/>
      <c r="AZ10" s="7"/>
      <c r="BA10" s="8"/>
      <c r="BB10" s="8"/>
      <c r="BC10" s="9"/>
      <c r="BD10" s="10"/>
      <c r="BE10" s="11"/>
      <c r="BF10" s="57"/>
      <c r="BG10" s="5"/>
      <c r="BH10" s="6"/>
      <c r="BI10" s="6"/>
      <c r="BJ10" s="6"/>
      <c r="BK10" s="6"/>
      <c r="BL10" s="6"/>
      <c r="BM10" s="6"/>
      <c r="BN10" s="6"/>
      <c r="BO10" s="7"/>
      <c r="BP10" s="8"/>
      <c r="BQ10" s="9"/>
      <c r="BR10" s="10"/>
      <c r="BS10" s="11"/>
      <c r="BT10" s="57"/>
      <c r="BU10" s="5"/>
      <c r="BV10" s="6"/>
      <c r="BW10" s="6"/>
      <c r="BX10" s="6"/>
      <c r="BY10" s="6"/>
      <c r="BZ10" s="6"/>
      <c r="CA10" s="6"/>
      <c r="CB10" s="7"/>
      <c r="CC10" s="8"/>
      <c r="CD10" s="8"/>
      <c r="CE10" s="9"/>
      <c r="CF10" s="10"/>
      <c r="CG10" s="11"/>
      <c r="CH10" s="61"/>
      <c r="CI10" s="182"/>
      <c r="CJ10" s="52"/>
      <c r="CK10" s="273"/>
      <c r="CL10" s="274"/>
      <c r="CM10" s="274"/>
      <c r="CN10" s="274"/>
      <c r="CO10" s="275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</row>
    <row r="11" spans="1:143" s="4" customFormat="1" ht="11.45" customHeight="1" x14ac:dyDescent="0.2">
      <c r="A11" s="182"/>
      <c r="B11" s="44"/>
      <c r="C11" s="12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57"/>
      <c r="Q11" s="12"/>
      <c r="R11" s="13"/>
      <c r="S11" s="13"/>
      <c r="T11" s="13"/>
      <c r="U11" s="13"/>
      <c r="V11" s="13"/>
      <c r="W11" s="13"/>
      <c r="X11" s="14"/>
      <c r="Y11" s="14"/>
      <c r="Z11" s="14"/>
      <c r="AA11" s="14"/>
      <c r="AB11" s="14"/>
      <c r="AC11" s="15"/>
      <c r="AD11" s="57"/>
      <c r="AE11" s="12"/>
      <c r="AF11" s="13"/>
      <c r="AG11" s="13"/>
      <c r="AH11" s="13"/>
      <c r="AI11" s="13"/>
      <c r="AJ11" s="13"/>
      <c r="AK11" s="13"/>
      <c r="AL11" s="13"/>
      <c r="AM11" s="14"/>
      <c r="AN11" s="14"/>
      <c r="AO11" s="14"/>
      <c r="AP11" s="14"/>
      <c r="AQ11" s="15"/>
      <c r="AR11" s="57"/>
      <c r="AS11" s="12"/>
      <c r="AT11" s="13"/>
      <c r="AU11" s="13"/>
      <c r="AV11" s="13"/>
      <c r="AW11" s="13"/>
      <c r="AX11" s="13"/>
      <c r="AY11" s="13"/>
      <c r="AZ11" s="14"/>
      <c r="BA11" s="14"/>
      <c r="BB11" s="14"/>
      <c r="BC11" s="14"/>
      <c r="BD11" s="14"/>
      <c r="BE11" s="15"/>
      <c r="BF11" s="57"/>
      <c r="BG11" s="12"/>
      <c r="BH11" s="13"/>
      <c r="BI11" s="13"/>
      <c r="BJ11" s="13"/>
      <c r="BK11" s="13"/>
      <c r="BL11" s="13"/>
      <c r="BM11" s="13"/>
      <c r="BN11" s="13"/>
      <c r="BO11" s="14"/>
      <c r="BP11" s="14"/>
      <c r="BQ11" s="14"/>
      <c r="BR11" s="14"/>
      <c r="BS11" s="15"/>
      <c r="BT11" s="57"/>
      <c r="BU11" s="12"/>
      <c r="BV11" s="13"/>
      <c r="BW11" s="13"/>
      <c r="BX11" s="13"/>
      <c r="BY11" s="13"/>
      <c r="BZ11" s="13"/>
      <c r="CA11" s="13"/>
      <c r="CB11" s="14"/>
      <c r="CC11" s="14"/>
      <c r="CD11" s="14"/>
      <c r="CE11" s="14"/>
      <c r="CF11" s="14"/>
      <c r="CG11" s="15"/>
      <c r="CH11" s="61"/>
      <c r="CI11" s="182"/>
      <c r="CJ11" s="52"/>
      <c r="CK11" s="276"/>
      <c r="CL11" s="277"/>
      <c r="CM11" s="277"/>
      <c r="CN11" s="277"/>
      <c r="CO11" s="278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1:143" s="4" customFormat="1" ht="11.45" customHeight="1" x14ac:dyDescent="0.2">
      <c r="A12" s="182">
        <v>700</v>
      </c>
      <c r="B12" s="44"/>
      <c r="C12" s="5"/>
      <c r="D12" s="9"/>
      <c r="E12" s="125" t="s">
        <v>104</v>
      </c>
      <c r="F12" s="10"/>
      <c r="G12" s="10"/>
      <c r="H12" s="10"/>
      <c r="I12" s="10"/>
      <c r="J12" s="10"/>
      <c r="K12" s="9"/>
      <c r="L12" s="9"/>
      <c r="M12" s="9"/>
      <c r="N12" s="10"/>
      <c r="O12" s="11"/>
      <c r="P12" s="57"/>
      <c r="Q12" s="5"/>
      <c r="R12" s="9"/>
      <c r="S12" s="9"/>
      <c r="T12" s="9"/>
      <c r="U12" s="9"/>
      <c r="V12" s="9"/>
      <c r="W12" s="9"/>
      <c r="X12" s="10"/>
      <c r="Y12" s="10"/>
      <c r="Z12" s="10"/>
      <c r="AA12" s="10"/>
      <c r="AB12" s="10"/>
      <c r="AC12" s="11"/>
      <c r="AD12" s="57"/>
      <c r="AE12" s="5"/>
      <c r="AF12" s="9"/>
      <c r="AG12" s="9"/>
      <c r="AH12" s="9"/>
      <c r="AI12" s="9"/>
      <c r="AJ12" s="9"/>
      <c r="AK12" s="9"/>
      <c r="AL12" s="9"/>
      <c r="AM12" s="10"/>
      <c r="AN12" s="10"/>
      <c r="AO12" s="10"/>
      <c r="AP12" s="10"/>
      <c r="AQ12" s="11"/>
      <c r="AR12" s="57"/>
      <c r="AS12" s="5"/>
      <c r="AT12" s="9"/>
      <c r="AU12" s="9"/>
      <c r="AV12" s="9"/>
      <c r="AW12" s="9"/>
      <c r="AX12" s="9"/>
      <c r="AY12" s="9"/>
      <c r="AZ12" s="10"/>
      <c r="BA12" s="10"/>
      <c r="BB12" s="10"/>
      <c r="BC12" s="10"/>
      <c r="BD12" s="10"/>
      <c r="BE12" s="11"/>
      <c r="BF12" s="57"/>
      <c r="BG12" s="5"/>
      <c r="BH12" s="9"/>
      <c r="BI12" s="9"/>
      <c r="BJ12" s="9"/>
      <c r="BK12" s="9"/>
      <c r="BL12" s="9"/>
      <c r="BM12" s="9"/>
      <c r="BN12" s="9"/>
      <c r="BO12" s="10"/>
      <c r="BP12" s="10"/>
      <c r="BQ12" s="10"/>
      <c r="BR12" s="10"/>
      <c r="BS12" s="11"/>
      <c r="BT12" s="57"/>
      <c r="BU12" s="5"/>
      <c r="BV12" s="9"/>
      <c r="BW12" s="9"/>
      <c r="BX12" s="9"/>
      <c r="BY12" s="9"/>
      <c r="BZ12" s="9"/>
      <c r="CA12" s="9"/>
      <c r="CB12" s="10"/>
      <c r="CC12" s="10"/>
      <c r="CD12" s="10"/>
      <c r="CE12" s="10"/>
      <c r="CF12" s="10"/>
      <c r="CG12" s="11"/>
      <c r="CH12" s="61"/>
      <c r="CI12" s="182">
        <v>700</v>
      </c>
      <c r="CJ12" s="52"/>
      <c r="CK12" s="270" t="s">
        <v>195</v>
      </c>
      <c r="CL12" s="271"/>
      <c r="CM12" s="271"/>
      <c r="CN12" s="271"/>
      <c r="CO12" s="272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 s="4" customFormat="1" ht="11.45" customHeight="1" x14ac:dyDescent="0.2">
      <c r="A13" s="182"/>
      <c r="B13" s="44"/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4"/>
      <c r="O13" s="15"/>
      <c r="P13" s="57"/>
      <c r="Q13" s="12"/>
      <c r="R13" s="17"/>
      <c r="S13" s="17"/>
      <c r="T13" s="17"/>
      <c r="U13" s="17"/>
      <c r="V13" s="17"/>
      <c r="W13" s="17"/>
      <c r="X13" s="18"/>
      <c r="Y13" s="18"/>
      <c r="Z13" s="18"/>
      <c r="AA13" s="18"/>
      <c r="AB13" s="14"/>
      <c r="AC13" s="15"/>
      <c r="AD13" s="57"/>
      <c r="AE13" s="12"/>
      <c r="AF13" s="17"/>
      <c r="AG13" s="17"/>
      <c r="AH13" s="17"/>
      <c r="AI13" s="17"/>
      <c r="AJ13" s="17"/>
      <c r="AK13" s="17"/>
      <c r="AL13" s="17"/>
      <c r="AM13" s="18"/>
      <c r="AN13" s="18"/>
      <c r="AO13" s="18"/>
      <c r="AP13" s="18"/>
      <c r="AQ13" s="15"/>
      <c r="AR13" s="57"/>
      <c r="AS13" s="16"/>
      <c r="AT13" s="17"/>
      <c r="AU13" s="17"/>
      <c r="AV13" s="17"/>
      <c r="AW13" s="17"/>
      <c r="AX13" s="17"/>
      <c r="AY13" s="17"/>
      <c r="AZ13" s="18"/>
      <c r="BA13" s="18"/>
      <c r="BB13" s="18"/>
      <c r="BC13" s="18"/>
      <c r="BD13" s="18"/>
      <c r="BE13" s="15"/>
      <c r="BF13" s="57"/>
      <c r="BG13" s="16"/>
      <c r="BH13" s="17"/>
      <c r="BI13" s="17"/>
      <c r="BJ13" s="17"/>
      <c r="BK13" s="17"/>
      <c r="BL13" s="17"/>
      <c r="BM13" s="17"/>
      <c r="BN13" s="17"/>
      <c r="BO13" s="18"/>
      <c r="BP13" s="18"/>
      <c r="BQ13" s="18"/>
      <c r="BR13" s="18"/>
      <c r="BS13" s="15"/>
      <c r="BT13" s="57"/>
      <c r="BU13" s="16"/>
      <c r="BV13" s="17"/>
      <c r="BW13" s="17"/>
      <c r="BX13" s="17"/>
      <c r="BY13" s="17"/>
      <c r="BZ13" s="17"/>
      <c r="CA13" s="17"/>
      <c r="CB13" s="18"/>
      <c r="CC13" s="18"/>
      <c r="CD13" s="18"/>
      <c r="CE13" s="18"/>
      <c r="CF13" s="18"/>
      <c r="CG13" s="15"/>
      <c r="CH13" s="61"/>
      <c r="CI13" s="182"/>
      <c r="CJ13" s="52"/>
      <c r="CK13" s="273"/>
      <c r="CL13" s="274"/>
      <c r="CM13" s="274"/>
      <c r="CN13" s="274"/>
      <c r="CO13" s="275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 s="4" customFormat="1" ht="11.45" customHeight="1" x14ac:dyDescent="0.2">
      <c r="A14" s="182"/>
      <c r="B14" s="44"/>
      <c r="C14" s="19"/>
      <c r="D14" s="20"/>
      <c r="E14" s="20"/>
      <c r="F14" s="21"/>
      <c r="G14" s="21"/>
      <c r="H14" s="21"/>
      <c r="I14" s="21"/>
      <c r="J14" s="21"/>
      <c r="K14" s="21"/>
      <c r="L14" s="21"/>
      <c r="M14" s="21"/>
      <c r="N14" s="10"/>
      <c r="O14" s="11"/>
      <c r="P14" s="57"/>
      <c r="Q14" s="5"/>
      <c r="R14" s="20"/>
      <c r="S14" s="9"/>
      <c r="T14" s="9"/>
      <c r="U14" s="9"/>
      <c r="V14" s="9"/>
      <c r="W14" s="9"/>
      <c r="X14" s="10"/>
      <c r="Y14" s="10"/>
      <c r="Z14" s="10"/>
      <c r="AA14" s="10"/>
      <c r="AB14" s="10"/>
      <c r="AC14" s="11"/>
      <c r="AD14" s="57"/>
      <c r="AE14" s="5"/>
      <c r="AF14" s="20"/>
      <c r="AG14" s="20"/>
      <c r="AH14" s="20"/>
      <c r="AI14" s="20"/>
      <c r="AJ14" s="20"/>
      <c r="AK14" s="20"/>
      <c r="AL14" s="20"/>
      <c r="AM14" s="21"/>
      <c r="AN14" s="21"/>
      <c r="AO14" s="21"/>
      <c r="AP14" s="21"/>
      <c r="AQ14" s="11"/>
      <c r="AR14" s="57"/>
      <c r="AS14" s="19"/>
      <c r="AT14" s="20"/>
      <c r="AU14" s="20"/>
      <c r="AV14" s="20"/>
      <c r="AW14" s="20"/>
      <c r="AX14" s="20"/>
      <c r="AY14" s="20"/>
      <c r="AZ14" s="21"/>
      <c r="BA14" s="21"/>
      <c r="BB14" s="21"/>
      <c r="BC14" s="21"/>
      <c r="BD14" s="21"/>
      <c r="BE14" s="11"/>
      <c r="BF14" s="57"/>
      <c r="BG14" s="19"/>
      <c r="BH14" s="20"/>
      <c r="BI14" s="20"/>
      <c r="BJ14" s="20"/>
      <c r="BK14" s="20"/>
      <c r="BL14" s="20"/>
      <c r="BM14" s="20"/>
      <c r="BN14" s="20"/>
      <c r="BO14" s="21"/>
      <c r="BP14" s="21"/>
      <c r="BQ14" s="21"/>
      <c r="BR14" s="21"/>
      <c r="BS14" s="11"/>
      <c r="BT14" s="57"/>
      <c r="BU14" s="19"/>
      <c r="BV14" s="20"/>
      <c r="BW14" s="20"/>
      <c r="BX14" s="20"/>
      <c r="BY14" s="20"/>
      <c r="BZ14" s="20"/>
      <c r="CA14" s="20"/>
      <c r="CB14" s="21"/>
      <c r="CC14" s="21"/>
      <c r="CD14" s="21"/>
      <c r="CE14" s="21"/>
      <c r="CF14" s="21"/>
      <c r="CG14" s="11"/>
      <c r="CH14" s="61"/>
      <c r="CI14" s="182"/>
      <c r="CJ14" s="52"/>
      <c r="CK14" s="273"/>
      <c r="CL14" s="274"/>
      <c r="CM14" s="274"/>
      <c r="CN14" s="274"/>
      <c r="CO14" s="275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 s="4" customFormat="1" ht="11.45" customHeight="1" x14ac:dyDescent="0.2">
      <c r="A15" s="182"/>
      <c r="B15" s="44"/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4"/>
      <c r="O15" s="15"/>
      <c r="P15" s="57"/>
      <c r="Q15" s="12"/>
      <c r="R15" s="17"/>
      <c r="S15" s="13"/>
      <c r="T15" s="13"/>
      <c r="U15" s="13"/>
      <c r="V15" s="13"/>
      <c r="W15" s="13"/>
      <c r="X15" s="14"/>
      <c r="Y15" s="14"/>
      <c r="Z15" s="14"/>
      <c r="AA15" s="18"/>
      <c r="AB15" s="14"/>
      <c r="AC15" s="15"/>
      <c r="AD15" s="57"/>
      <c r="AE15" s="12"/>
      <c r="AF15" s="17"/>
      <c r="AG15" s="17"/>
      <c r="AH15" s="17"/>
      <c r="AI15" s="17"/>
      <c r="AJ15" s="17"/>
      <c r="AK15" s="17"/>
      <c r="AL15" s="17"/>
      <c r="AM15" s="18"/>
      <c r="AN15" s="18"/>
      <c r="AO15" s="18"/>
      <c r="AP15" s="18"/>
      <c r="AQ15" s="15"/>
      <c r="AR15" s="57"/>
      <c r="AS15" s="16"/>
      <c r="AT15" s="17"/>
      <c r="AU15" s="17"/>
      <c r="AV15" s="17"/>
      <c r="AW15" s="17"/>
      <c r="AX15" s="17"/>
      <c r="AY15" s="17"/>
      <c r="AZ15" s="18"/>
      <c r="BA15" s="18"/>
      <c r="BB15" s="18"/>
      <c r="BC15" s="18"/>
      <c r="BD15" s="18"/>
      <c r="BE15" s="15"/>
      <c r="BF15" s="57"/>
      <c r="BG15" s="16"/>
      <c r="BH15" s="17"/>
      <c r="BI15" s="17"/>
      <c r="BJ15" s="17"/>
      <c r="BK15" s="17"/>
      <c r="BL15" s="17"/>
      <c r="BM15" s="17"/>
      <c r="BN15" s="17"/>
      <c r="BO15" s="18"/>
      <c r="BP15" s="18"/>
      <c r="BQ15" s="18"/>
      <c r="BR15" s="18"/>
      <c r="BS15" s="15"/>
      <c r="BT15" s="57"/>
      <c r="BU15" s="16"/>
      <c r="BV15" s="17"/>
      <c r="BW15" s="17"/>
      <c r="BX15" s="17"/>
      <c r="BY15" s="17"/>
      <c r="BZ15" s="17"/>
      <c r="CA15" s="17"/>
      <c r="CB15" s="18"/>
      <c r="CC15" s="18"/>
      <c r="CD15" s="18"/>
      <c r="CE15" s="18"/>
      <c r="CF15" s="18"/>
      <c r="CG15" s="15"/>
      <c r="CH15" s="61"/>
      <c r="CI15" s="182"/>
      <c r="CJ15" s="52"/>
      <c r="CK15" s="276"/>
      <c r="CL15" s="277"/>
      <c r="CM15" s="277"/>
      <c r="CN15" s="277"/>
      <c r="CO15" s="278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 s="4" customFormat="1" ht="11.45" customHeight="1" x14ac:dyDescent="0.2">
      <c r="A16" s="182">
        <v>800</v>
      </c>
      <c r="B16" s="44"/>
      <c r="C16" s="5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57"/>
      <c r="Q16" s="5"/>
      <c r="R16" s="6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  <c r="AD16" s="57"/>
      <c r="AE16" s="5"/>
      <c r="AF16" s="9"/>
      <c r="AG16" s="9"/>
      <c r="AH16" s="9"/>
      <c r="AI16" s="9"/>
      <c r="AJ16" s="9"/>
      <c r="AK16" s="9"/>
      <c r="AL16" s="9"/>
      <c r="AM16" s="10"/>
      <c r="AN16" s="10"/>
      <c r="AO16" s="10"/>
      <c r="AP16" s="10"/>
      <c r="AQ16" s="11"/>
      <c r="AR16" s="57"/>
      <c r="AS16" s="5"/>
      <c r="AT16" s="9"/>
      <c r="AU16" s="9"/>
      <c r="AV16" s="9"/>
      <c r="AW16" s="9"/>
      <c r="AX16" s="9"/>
      <c r="AY16" s="9"/>
      <c r="AZ16" s="10"/>
      <c r="BA16" s="10"/>
      <c r="BB16" s="10"/>
      <c r="BC16" s="10"/>
      <c r="BD16" s="10"/>
      <c r="BE16" s="11"/>
      <c r="BF16" s="57"/>
      <c r="BG16" s="5"/>
      <c r="BH16" s="9"/>
      <c r="BI16" s="9"/>
      <c r="BJ16" s="9"/>
      <c r="BK16" s="9"/>
      <c r="BL16" s="9"/>
      <c r="BM16" s="9"/>
      <c r="BN16" s="9"/>
      <c r="BO16" s="10"/>
      <c r="BP16" s="10"/>
      <c r="BQ16" s="10"/>
      <c r="BR16" s="10"/>
      <c r="BS16" s="11"/>
      <c r="BT16" s="57"/>
      <c r="BU16" s="5"/>
      <c r="BV16" s="9"/>
      <c r="BW16" s="9"/>
      <c r="BX16" s="9"/>
      <c r="BY16" s="9"/>
      <c r="BZ16" s="9"/>
      <c r="CA16" s="9"/>
      <c r="CB16" s="10"/>
      <c r="CC16" s="10"/>
      <c r="CD16" s="10"/>
      <c r="CE16" s="10"/>
      <c r="CF16" s="10"/>
      <c r="CG16" s="11"/>
      <c r="CH16" s="61"/>
      <c r="CI16" s="182">
        <v>800</v>
      </c>
      <c r="CJ16" s="52"/>
      <c r="CK16" s="187" t="s">
        <v>44</v>
      </c>
      <c r="CL16" s="188"/>
      <c r="CM16" s="188"/>
      <c r="CN16" s="188"/>
      <c r="CO16" s="189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1:143" s="4" customFormat="1" ht="11.45" customHeight="1" x14ac:dyDescent="0.2">
      <c r="A17" s="182"/>
      <c r="B17" s="44"/>
      <c r="C17" s="12"/>
      <c r="D17" s="13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57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4"/>
      <c r="AC17" s="15"/>
      <c r="AD17" s="57"/>
      <c r="AE17" s="12"/>
      <c r="AF17" s="13"/>
      <c r="AG17" s="13"/>
      <c r="AH17" s="13"/>
      <c r="AI17" s="13"/>
      <c r="AJ17" s="13"/>
      <c r="AK17" s="13"/>
      <c r="AL17" s="13"/>
      <c r="AM17" s="14"/>
      <c r="AN17" s="14"/>
      <c r="AO17" s="14"/>
      <c r="AP17" s="14"/>
      <c r="AQ17" s="15"/>
      <c r="AR17" s="57"/>
      <c r="AS17" s="12"/>
      <c r="AT17" s="13"/>
      <c r="AU17" s="13"/>
      <c r="AV17" s="13"/>
      <c r="AW17" s="13"/>
      <c r="AX17" s="13"/>
      <c r="AY17" s="13"/>
      <c r="AZ17" s="14"/>
      <c r="BA17" s="14"/>
      <c r="BB17" s="14"/>
      <c r="BC17" s="14"/>
      <c r="BD17" s="14"/>
      <c r="BE17" s="15"/>
      <c r="BF17" s="57"/>
      <c r="BG17" s="12"/>
      <c r="BH17" s="13"/>
      <c r="BI17" s="13"/>
      <c r="BJ17" s="13"/>
      <c r="BK17" s="13"/>
      <c r="BL17" s="13"/>
      <c r="BM17" s="13"/>
      <c r="BN17" s="13"/>
      <c r="BO17" s="14"/>
      <c r="BP17" s="14"/>
      <c r="BQ17" s="14"/>
      <c r="BR17" s="14"/>
      <c r="BS17" s="15"/>
      <c r="BT17" s="57"/>
      <c r="BU17" s="12"/>
      <c r="BV17" s="13"/>
      <c r="BW17" s="13"/>
      <c r="BX17" s="13"/>
      <c r="BY17" s="13"/>
      <c r="BZ17" s="13"/>
      <c r="CA17" s="13"/>
      <c r="CB17" s="14"/>
      <c r="CC17" s="14"/>
      <c r="CD17" s="14"/>
      <c r="CE17" s="14"/>
      <c r="CF17" s="14"/>
      <c r="CG17" s="15"/>
      <c r="CH17" s="61"/>
      <c r="CI17" s="182"/>
      <c r="CJ17" s="52"/>
      <c r="CK17" s="190"/>
      <c r="CL17" s="191"/>
      <c r="CM17" s="191"/>
      <c r="CN17" s="191"/>
      <c r="CO17" s="192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1:143" s="4" customFormat="1" ht="11.45" customHeight="1" x14ac:dyDescent="0.2">
      <c r="A18" s="182"/>
      <c r="B18" s="44"/>
      <c r="C18" s="5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57"/>
      <c r="Q18" s="5"/>
      <c r="R18" s="6"/>
      <c r="S18" s="9"/>
      <c r="T18" s="9"/>
      <c r="U18" s="9"/>
      <c r="V18" s="9"/>
      <c r="W18" s="9"/>
      <c r="X18" s="10"/>
      <c r="Y18" s="10"/>
      <c r="Z18" s="10"/>
      <c r="AA18" s="9"/>
      <c r="AB18" s="10"/>
      <c r="AC18" s="11"/>
      <c r="AD18" s="57"/>
      <c r="AE18" s="5"/>
      <c r="AF18" s="9"/>
      <c r="AG18" s="9"/>
      <c r="AH18" s="9"/>
      <c r="AI18" s="9"/>
      <c r="AJ18" s="9"/>
      <c r="AK18" s="9"/>
      <c r="AL18" s="9"/>
      <c r="AM18" s="10"/>
      <c r="AN18" s="10"/>
      <c r="AO18" s="10"/>
      <c r="AP18" s="10"/>
      <c r="AQ18" s="11"/>
      <c r="AR18" s="57"/>
      <c r="AS18" s="5"/>
      <c r="AT18" s="9"/>
      <c r="AU18" s="9"/>
      <c r="AV18" s="9"/>
      <c r="AW18" s="9"/>
      <c r="AX18" s="9"/>
      <c r="AY18" s="9"/>
      <c r="AZ18" s="10"/>
      <c r="BA18" s="10"/>
      <c r="BB18" s="10"/>
      <c r="BC18" s="10"/>
      <c r="BD18" s="10"/>
      <c r="BE18" s="11"/>
      <c r="BF18" s="57"/>
      <c r="BG18" s="5"/>
      <c r="BH18" s="9"/>
      <c r="BI18" s="9"/>
      <c r="BJ18" s="9"/>
      <c r="BK18" s="9"/>
      <c r="BL18" s="9"/>
      <c r="BM18" s="9"/>
      <c r="BN18" s="9"/>
      <c r="BO18" s="10"/>
      <c r="BP18" s="10"/>
      <c r="BQ18" s="10"/>
      <c r="BR18" s="10"/>
      <c r="BS18" s="11"/>
      <c r="BT18" s="57"/>
      <c r="BU18" s="5"/>
      <c r="BV18" s="9"/>
      <c r="BW18" s="9"/>
      <c r="BX18" s="9"/>
      <c r="BY18" s="9"/>
      <c r="BZ18" s="9"/>
      <c r="CA18" s="9"/>
      <c r="CB18" s="10"/>
      <c r="CC18" s="10"/>
      <c r="CD18" s="10"/>
      <c r="CE18" s="10"/>
      <c r="CF18" s="10"/>
      <c r="CG18" s="11"/>
      <c r="CH18" s="61"/>
      <c r="CI18" s="182"/>
      <c r="CJ18" s="52"/>
      <c r="CK18" s="220" t="s">
        <v>45</v>
      </c>
      <c r="CL18" s="222" t="s">
        <v>0</v>
      </c>
      <c r="CM18" s="224" t="s">
        <v>46</v>
      </c>
      <c r="CN18" s="224" t="s">
        <v>47</v>
      </c>
      <c r="CO18" s="226" t="s">
        <v>49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1:143" s="4" customFormat="1" ht="11.45" customHeight="1" x14ac:dyDescent="0.2">
      <c r="A19" s="182"/>
      <c r="B19" s="44"/>
      <c r="C19" s="12"/>
      <c r="D19" s="13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57"/>
      <c r="Q19" s="12"/>
      <c r="R19" s="13"/>
      <c r="S19" s="13"/>
      <c r="T19" s="13"/>
      <c r="U19" s="13"/>
      <c r="V19" s="13"/>
      <c r="W19" s="13"/>
      <c r="X19" s="14"/>
      <c r="Y19" s="14"/>
      <c r="Z19" s="14"/>
      <c r="AA19" s="14"/>
      <c r="AB19" s="14"/>
      <c r="AC19" s="15"/>
      <c r="AD19" s="57"/>
      <c r="AE19" s="12"/>
      <c r="AF19" s="13"/>
      <c r="AG19" s="13"/>
      <c r="AH19" s="13"/>
      <c r="AI19" s="13"/>
      <c r="AJ19" s="13"/>
      <c r="AK19" s="13"/>
      <c r="AL19" s="13"/>
      <c r="AM19" s="14"/>
      <c r="AN19" s="14"/>
      <c r="AO19" s="14"/>
      <c r="AP19" s="14"/>
      <c r="AQ19" s="15"/>
      <c r="AR19" s="57"/>
      <c r="AS19" s="12"/>
      <c r="AT19" s="13"/>
      <c r="AU19" s="13"/>
      <c r="AV19" s="13"/>
      <c r="AW19" s="13"/>
      <c r="AX19" s="13"/>
      <c r="AY19" s="13"/>
      <c r="AZ19" s="14"/>
      <c r="BA19" s="14"/>
      <c r="BB19" s="14"/>
      <c r="BC19" s="14"/>
      <c r="BD19" s="14"/>
      <c r="BE19" s="15"/>
      <c r="BF19" s="57"/>
      <c r="BG19" s="12"/>
      <c r="BH19" s="13"/>
      <c r="BI19" s="13"/>
      <c r="BJ19" s="13"/>
      <c r="BK19" s="13"/>
      <c r="BL19" s="13"/>
      <c r="BM19" s="13"/>
      <c r="BN19" s="13"/>
      <c r="BO19" s="14"/>
      <c r="BP19" s="14"/>
      <c r="BQ19" s="14"/>
      <c r="BR19" s="14"/>
      <c r="BS19" s="15"/>
      <c r="BT19" s="57"/>
      <c r="BU19" s="12"/>
      <c r="BV19" s="13"/>
      <c r="BW19" s="13"/>
      <c r="BX19" s="13"/>
      <c r="BY19" s="13"/>
      <c r="BZ19" s="13"/>
      <c r="CA19" s="13"/>
      <c r="CB19" s="14"/>
      <c r="CC19" s="14"/>
      <c r="CD19" s="14"/>
      <c r="CE19" s="14"/>
      <c r="CF19" s="14"/>
      <c r="CG19" s="15"/>
      <c r="CH19" s="61"/>
      <c r="CI19" s="182"/>
      <c r="CJ19" s="52"/>
      <c r="CK19" s="221"/>
      <c r="CL19" s="223"/>
      <c r="CM19" s="225"/>
      <c r="CN19" s="225"/>
      <c r="CO19" s="227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1:143" s="4" customFormat="1" ht="11.45" customHeight="1" x14ac:dyDescent="0.2">
      <c r="A20" s="182">
        <v>900</v>
      </c>
      <c r="B20" s="44"/>
      <c r="C20" s="5"/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57"/>
      <c r="Q20" s="5"/>
      <c r="R20" s="9"/>
      <c r="S20" s="9"/>
      <c r="T20" s="9"/>
      <c r="U20" s="9"/>
      <c r="V20" s="9"/>
      <c r="W20" s="9"/>
      <c r="X20" s="9"/>
      <c r="Y20" s="9"/>
      <c r="Z20" s="9"/>
      <c r="AA20" s="10"/>
      <c r="AB20" s="10"/>
      <c r="AC20" s="11"/>
      <c r="AD20" s="57"/>
      <c r="AE20" s="5"/>
      <c r="AF20" s="9"/>
      <c r="AG20" s="9"/>
      <c r="AH20" s="9"/>
      <c r="AI20" s="9"/>
      <c r="AJ20" s="9"/>
      <c r="AK20" s="9"/>
      <c r="AL20" s="9"/>
      <c r="AM20" s="10"/>
      <c r="AN20" s="10"/>
      <c r="AO20" s="10"/>
      <c r="AP20" s="10"/>
      <c r="AQ20" s="11"/>
      <c r="AR20" s="57"/>
      <c r="AS20" s="5"/>
      <c r="AT20" s="9"/>
      <c r="AU20" s="9"/>
      <c r="AV20" s="9"/>
      <c r="AW20" s="9"/>
      <c r="AX20" s="9"/>
      <c r="AY20" s="9"/>
      <c r="AZ20" s="10"/>
      <c r="BA20" s="10"/>
      <c r="BB20" s="10"/>
      <c r="BC20" s="10"/>
      <c r="BD20" s="10"/>
      <c r="BE20" s="11"/>
      <c r="BF20" s="57"/>
      <c r="BG20" s="5"/>
      <c r="BH20" s="9"/>
      <c r="BI20" s="9"/>
      <c r="BJ20" s="9"/>
      <c r="BK20" s="9"/>
      <c r="BL20" s="9"/>
      <c r="BM20" s="9"/>
      <c r="BN20" s="9"/>
      <c r="BO20" s="10"/>
      <c r="BP20" s="10"/>
      <c r="BQ20" s="10"/>
      <c r="BR20" s="10"/>
      <c r="BS20" s="11"/>
      <c r="BT20" s="57"/>
      <c r="BU20" s="5"/>
      <c r="BV20" s="9"/>
      <c r="BW20" s="9"/>
      <c r="BX20" s="9"/>
      <c r="BY20" s="9"/>
      <c r="BZ20" s="9"/>
      <c r="CA20" s="9"/>
      <c r="CB20" s="10"/>
      <c r="CC20" s="10"/>
      <c r="CD20" s="10"/>
      <c r="CE20" s="10"/>
      <c r="CF20" s="10"/>
      <c r="CG20" s="11"/>
      <c r="CH20" s="61"/>
      <c r="CI20" s="182">
        <v>900</v>
      </c>
      <c r="CJ20" s="52"/>
      <c r="CK20" s="215">
        <v>10</v>
      </c>
      <c r="CL20" s="213">
        <v>1500</v>
      </c>
      <c r="CM20" s="215" t="s">
        <v>153</v>
      </c>
      <c r="CN20" s="185" t="s">
        <v>102</v>
      </c>
      <c r="CO20" s="185" t="s">
        <v>101</v>
      </c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1:143" s="4" customFormat="1" ht="11.45" customHeight="1" x14ac:dyDescent="0.2">
      <c r="A21" s="182"/>
      <c r="B21" s="44"/>
      <c r="C21" s="12"/>
      <c r="D21" s="13"/>
      <c r="E21" s="13"/>
      <c r="F21" s="14"/>
      <c r="G21" s="14"/>
      <c r="H21" s="14"/>
      <c r="I21" s="14"/>
      <c r="J21" s="14"/>
      <c r="K21" s="14"/>
      <c r="L21" s="14"/>
      <c r="M21" s="14"/>
      <c r="N21" s="14" t="s">
        <v>9</v>
      </c>
      <c r="O21" s="15"/>
      <c r="P21" s="57"/>
      <c r="Q21" s="12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  <c r="AC21" s="15"/>
      <c r="AD21" s="57"/>
      <c r="AE21" s="12"/>
      <c r="AF21" s="13"/>
      <c r="AG21" s="13"/>
      <c r="AH21" s="13"/>
      <c r="AI21" s="13"/>
      <c r="AJ21" s="13"/>
      <c r="AK21" s="13"/>
      <c r="AL21" s="13"/>
      <c r="AM21" s="14"/>
      <c r="AN21" s="14"/>
      <c r="AO21" s="14"/>
      <c r="AP21" s="14"/>
      <c r="AQ21" s="15"/>
      <c r="AR21" s="57"/>
      <c r="AS21" s="12"/>
      <c r="AT21" s="13"/>
      <c r="AU21" s="13"/>
      <c r="AV21" s="13"/>
      <c r="AW21" s="13"/>
      <c r="AX21" s="13"/>
      <c r="AY21" s="13"/>
      <c r="AZ21" s="14"/>
      <c r="BA21" s="14"/>
      <c r="BB21" s="14"/>
      <c r="BC21" s="14"/>
      <c r="BD21" s="14"/>
      <c r="BE21" s="15"/>
      <c r="BF21" s="57"/>
      <c r="BG21" s="12"/>
      <c r="BH21" s="13"/>
      <c r="BI21" s="13"/>
      <c r="BJ21" s="13"/>
      <c r="BK21" s="13"/>
      <c r="BL21" s="13"/>
      <c r="BM21" s="13"/>
      <c r="BN21" s="13"/>
      <c r="BO21" s="14"/>
      <c r="BP21" s="14"/>
      <c r="BQ21" s="14"/>
      <c r="BR21" s="14"/>
      <c r="BS21" s="15"/>
      <c r="BT21" s="57"/>
      <c r="BU21" s="12"/>
      <c r="BV21" s="13"/>
      <c r="BW21" s="13"/>
      <c r="BX21" s="13"/>
      <c r="BY21" s="13"/>
      <c r="BZ21" s="13"/>
      <c r="CA21" s="13"/>
      <c r="CB21" s="14"/>
      <c r="CC21" s="14"/>
      <c r="CD21" s="14"/>
      <c r="CE21" s="14"/>
      <c r="CF21" s="14"/>
      <c r="CG21" s="15"/>
      <c r="CH21" s="61"/>
      <c r="CI21" s="182"/>
      <c r="CJ21" s="52"/>
      <c r="CK21" s="216"/>
      <c r="CL21" s="214"/>
      <c r="CM21" s="216"/>
      <c r="CN21" s="186"/>
      <c r="CO21" s="186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1:143" s="4" customFormat="1" ht="11.45" customHeight="1" x14ac:dyDescent="0.2">
      <c r="A22" s="182"/>
      <c r="B22" s="44"/>
      <c r="C22" s="5"/>
      <c r="D22" s="9"/>
      <c r="E22" s="9"/>
      <c r="F22" s="10"/>
      <c r="G22" s="10"/>
      <c r="H22" s="10"/>
      <c r="I22" s="10"/>
      <c r="J22" s="10"/>
      <c r="K22" s="10"/>
      <c r="L22" s="10"/>
      <c r="M22" s="22"/>
      <c r="N22" s="10"/>
      <c r="O22" s="11"/>
      <c r="P22" s="57"/>
      <c r="Q22" s="5"/>
      <c r="R22" s="9"/>
      <c r="S22" s="9"/>
      <c r="T22" s="9"/>
      <c r="U22" s="9"/>
      <c r="V22" s="9"/>
      <c r="W22" s="9"/>
      <c r="X22" s="10"/>
      <c r="Y22" s="10"/>
      <c r="Z22" s="10"/>
      <c r="AA22" s="10"/>
      <c r="AB22" s="10"/>
      <c r="AC22" s="11"/>
      <c r="AD22" s="57"/>
      <c r="AE22" s="5"/>
      <c r="AF22" s="9"/>
      <c r="AG22" s="9"/>
      <c r="AH22" s="9"/>
      <c r="AI22" s="9"/>
      <c r="AJ22" s="9"/>
      <c r="AK22" s="9"/>
      <c r="AL22" s="9"/>
      <c r="AM22" s="10"/>
      <c r="AN22" s="10"/>
      <c r="AO22" s="10"/>
      <c r="AP22" s="10"/>
      <c r="AQ22" s="11"/>
      <c r="AR22" s="57"/>
      <c r="AS22" s="5"/>
      <c r="AT22" s="9"/>
      <c r="AU22" s="9"/>
      <c r="AV22" s="9"/>
      <c r="AW22" s="9"/>
      <c r="AX22" s="9"/>
      <c r="AY22" s="9"/>
      <c r="AZ22" s="10"/>
      <c r="BA22" s="10"/>
      <c r="BB22" s="10"/>
      <c r="BC22" s="10"/>
      <c r="BD22" s="10"/>
      <c r="BE22" s="11"/>
      <c r="BF22" s="57"/>
      <c r="BG22" s="5"/>
      <c r="BH22" s="9"/>
      <c r="BI22" s="9"/>
      <c r="BJ22" s="9"/>
      <c r="BK22" s="9"/>
      <c r="BL22" s="9"/>
      <c r="BM22" s="9"/>
      <c r="BN22" s="9"/>
      <c r="BO22" s="10"/>
      <c r="BP22" s="10"/>
      <c r="BQ22" s="10"/>
      <c r="BR22" s="10"/>
      <c r="BS22" s="11"/>
      <c r="BT22" s="57"/>
      <c r="BU22" s="5"/>
      <c r="BV22" s="9"/>
      <c r="BW22" s="9"/>
      <c r="BX22" s="9"/>
      <c r="BY22" s="9"/>
      <c r="BZ22" s="9"/>
      <c r="CA22" s="9"/>
      <c r="CB22" s="10"/>
      <c r="CC22" s="10"/>
      <c r="CD22" s="10"/>
      <c r="CE22" s="10"/>
      <c r="CF22" s="10"/>
      <c r="CG22" s="11"/>
      <c r="CH22" s="61"/>
      <c r="CI22" s="182"/>
      <c r="CJ22" s="52"/>
      <c r="CK22" s="215">
        <v>20</v>
      </c>
      <c r="CL22" s="213" t="s">
        <v>121</v>
      </c>
      <c r="CM22" s="215" t="s">
        <v>188</v>
      </c>
      <c r="CN22" s="185" t="s">
        <v>189</v>
      </c>
      <c r="CO22" s="185" t="s">
        <v>138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1:143" s="4" customFormat="1" ht="11.45" customHeight="1" x14ac:dyDescent="0.2">
      <c r="A23" s="182"/>
      <c r="B23" s="44"/>
      <c r="C23" s="12"/>
      <c r="D23" s="13"/>
      <c r="E23" s="13"/>
      <c r="F23" s="14"/>
      <c r="G23" s="14"/>
      <c r="H23" s="14"/>
      <c r="I23" s="14"/>
      <c r="J23" s="14"/>
      <c r="K23" s="14"/>
      <c r="L23" s="14"/>
      <c r="M23" s="23"/>
      <c r="N23" s="14"/>
      <c r="O23" s="15"/>
      <c r="P23" s="57"/>
      <c r="Q23" s="12"/>
      <c r="R23" s="13"/>
      <c r="S23" s="13"/>
      <c r="T23" s="13"/>
      <c r="U23" s="13"/>
      <c r="V23" s="13"/>
      <c r="W23" s="13"/>
      <c r="X23" s="14"/>
      <c r="Y23" s="14"/>
      <c r="Z23" s="14"/>
      <c r="AA23" s="14"/>
      <c r="AB23" s="14"/>
      <c r="AC23" s="15"/>
      <c r="AD23" s="57"/>
      <c r="AE23" s="12"/>
      <c r="AF23" s="13"/>
      <c r="AG23" s="13"/>
      <c r="AH23" s="13"/>
      <c r="AI23" s="13"/>
      <c r="AJ23" s="13"/>
      <c r="AK23" s="13"/>
      <c r="AL23" s="13"/>
      <c r="AM23" s="14"/>
      <c r="AN23" s="14"/>
      <c r="AO23" s="14"/>
      <c r="AP23" s="14"/>
      <c r="AQ23" s="15"/>
      <c r="AR23" s="57"/>
      <c r="AS23" s="12"/>
      <c r="AT23" s="13"/>
      <c r="AU23" s="13"/>
      <c r="AV23" s="13"/>
      <c r="AW23" s="13"/>
      <c r="AX23" s="13"/>
      <c r="AY23" s="13"/>
      <c r="AZ23" s="14"/>
      <c r="BA23" s="14"/>
      <c r="BB23" s="14"/>
      <c r="BC23" s="14"/>
      <c r="BD23" s="14"/>
      <c r="BE23" s="15"/>
      <c r="BF23" s="57"/>
      <c r="BG23" s="12"/>
      <c r="BH23" s="13"/>
      <c r="BI23" s="13"/>
      <c r="BJ23" s="13"/>
      <c r="BK23" s="13"/>
      <c r="BL23" s="13"/>
      <c r="BM23" s="13"/>
      <c r="BN23" s="13"/>
      <c r="BO23" s="14"/>
      <c r="BP23" s="14"/>
      <c r="BQ23" s="14"/>
      <c r="BR23" s="14"/>
      <c r="BS23" s="15"/>
      <c r="BT23" s="57"/>
      <c r="BU23" s="12"/>
      <c r="BV23" s="13"/>
      <c r="BW23" s="13"/>
      <c r="BX23" s="13"/>
      <c r="BY23" s="13"/>
      <c r="BZ23" s="13"/>
      <c r="CA23" s="13"/>
      <c r="CB23" s="14"/>
      <c r="CC23" s="14"/>
      <c r="CD23" s="14"/>
      <c r="CE23" s="14"/>
      <c r="CF23" s="14"/>
      <c r="CG23" s="15"/>
      <c r="CH23" s="61"/>
      <c r="CI23" s="182"/>
      <c r="CJ23" s="52"/>
      <c r="CK23" s="216"/>
      <c r="CL23" s="214"/>
      <c r="CM23" s="216"/>
      <c r="CN23" s="186"/>
      <c r="CO23" s="186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1:143" s="4" customFormat="1" ht="11.45" customHeight="1" x14ac:dyDescent="0.2">
      <c r="A24" s="182">
        <v>1000</v>
      </c>
      <c r="B24" s="44"/>
      <c r="C24" s="5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57"/>
      <c r="Q24" s="5"/>
      <c r="R24" s="9"/>
      <c r="S24" s="9"/>
      <c r="T24" s="9"/>
      <c r="U24" s="9"/>
      <c r="V24" s="9"/>
      <c r="W24" s="9"/>
      <c r="X24" s="9"/>
      <c r="Y24" s="9"/>
      <c r="Z24" s="9"/>
      <c r="AA24" s="10"/>
      <c r="AB24" s="10"/>
      <c r="AC24" s="11"/>
      <c r="AD24" s="57"/>
      <c r="AE24" s="5"/>
      <c r="AF24" s="9"/>
      <c r="AG24" s="9"/>
      <c r="AH24" s="9"/>
      <c r="AI24" s="9"/>
      <c r="AJ24" s="9"/>
      <c r="AK24" s="9"/>
      <c r="AL24" s="9"/>
      <c r="AM24" s="10"/>
      <c r="AN24" s="10"/>
      <c r="AO24" s="10"/>
      <c r="AP24" s="10"/>
      <c r="AQ24" s="11"/>
      <c r="AR24" s="57"/>
      <c r="AS24" s="5"/>
      <c r="AT24" s="9"/>
      <c r="AU24" s="9"/>
      <c r="AV24" s="9"/>
      <c r="AW24" s="9"/>
      <c r="AX24" s="9"/>
      <c r="AY24" s="9"/>
      <c r="AZ24" s="10"/>
      <c r="BA24" s="10"/>
      <c r="BB24" s="10"/>
      <c r="BC24" s="10"/>
      <c r="BD24" s="10"/>
      <c r="BE24" s="11"/>
      <c r="BF24" s="57"/>
      <c r="BG24" s="5"/>
      <c r="BH24" s="9"/>
      <c r="BI24" s="9"/>
      <c r="BJ24" s="9"/>
      <c r="BK24" s="9"/>
      <c r="BL24" s="9"/>
      <c r="BM24" s="9"/>
      <c r="BN24" s="9"/>
      <c r="BO24" s="10"/>
      <c r="BP24" s="10"/>
      <c r="BQ24" s="10"/>
      <c r="BR24" s="10"/>
      <c r="BS24" s="11"/>
      <c r="BT24" s="57"/>
      <c r="BU24" s="5"/>
      <c r="BV24" s="9"/>
      <c r="BW24" s="9"/>
      <c r="BX24" s="9"/>
      <c r="BY24" s="9"/>
      <c r="BZ24" s="9"/>
      <c r="CA24" s="9"/>
      <c r="CB24" s="10"/>
      <c r="CC24" s="10"/>
      <c r="CD24" s="10"/>
      <c r="CE24" s="10"/>
      <c r="CF24" s="10"/>
      <c r="CG24" s="11"/>
      <c r="CH24" s="61"/>
      <c r="CI24" s="182">
        <v>1000</v>
      </c>
      <c r="CJ24" s="52"/>
      <c r="CK24" s="215">
        <v>40</v>
      </c>
      <c r="CL24" s="213">
        <v>1830</v>
      </c>
      <c r="CM24" s="215" t="s">
        <v>122</v>
      </c>
      <c r="CN24" s="215" t="s">
        <v>146</v>
      </c>
      <c r="CO24" s="185" t="s">
        <v>103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1:143" s="4" customFormat="1" ht="11.45" customHeight="1" x14ac:dyDescent="0.2">
      <c r="A25" s="182"/>
      <c r="B25" s="44"/>
      <c r="C25" s="12"/>
      <c r="D25" s="13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57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  <c r="AC25" s="15"/>
      <c r="AD25" s="57"/>
      <c r="AE25" s="12"/>
      <c r="AF25" s="13"/>
      <c r="AG25" s="13"/>
      <c r="AH25" s="13"/>
      <c r="AI25" s="13"/>
      <c r="AJ25" s="13"/>
      <c r="AK25" s="13"/>
      <c r="AL25" s="13"/>
      <c r="AM25" s="14"/>
      <c r="AN25" s="14"/>
      <c r="AO25" s="14"/>
      <c r="AP25" s="14"/>
      <c r="AQ25" s="15"/>
      <c r="AR25" s="57"/>
      <c r="AS25" s="12"/>
      <c r="AT25" s="13"/>
      <c r="AU25" s="13"/>
      <c r="AV25" s="13"/>
      <c r="AW25" s="13"/>
      <c r="AX25" s="13"/>
      <c r="AY25" s="13"/>
      <c r="AZ25" s="14"/>
      <c r="BA25" s="14"/>
      <c r="BB25" s="14"/>
      <c r="BC25" s="14"/>
      <c r="BD25" s="14"/>
      <c r="BE25" s="15"/>
      <c r="BF25" s="57"/>
      <c r="BG25" s="12"/>
      <c r="BH25" s="13"/>
      <c r="BI25" s="13"/>
      <c r="BJ25" s="13"/>
      <c r="BK25" s="13"/>
      <c r="BL25" s="13"/>
      <c r="BM25" s="13"/>
      <c r="BN25" s="13"/>
      <c r="BO25" s="14"/>
      <c r="BP25" s="14"/>
      <c r="BQ25" s="14"/>
      <c r="BR25" s="14"/>
      <c r="BS25" s="15"/>
      <c r="BT25" s="57"/>
      <c r="BU25" s="12"/>
      <c r="BV25" s="13"/>
      <c r="BW25" s="13"/>
      <c r="BX25" s="13"/>
      <c r="BY25" s="13"/>
      <c r="BZ25" s="13"/>
      <c r="CA25" s="13"/>
      <c r="CB25" s="14"/>
      <c r="CC25" s="14"/>
      <c r="CD25" s="14"/>
      <c r="CE25" s="14"/>
      <c r="CF25" s="14"/>
      <c r="CG25" s="15"/>
      <c r="CH25" s="61"/>
      <c r="CI25" s="182"/>
      <c r="CJ25" s="52"/>
      <c r="CK25" s="216"/>
      <c r="CL25" s="214"/>
      <c r="CM25" s="216"/>
      <c r="CN25" s="216"/>
      <c r="CO25" s="186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1:143" s="4" customFormat="1" ht="11.45" customHeight="1" x14ac:dyDescent="0.2">
      <c r="A26" s="182"/>
      <c r="B26" s="44"/>
      <c r="C26" s="5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57"/>
      <c r="Q26" s="5"/>
      <c r="R26" s="9"/>
      <c r="S26" s="9"/>
      <c r="T26" s="9"/>
      <c r="U26" s="9"/>
      <c r="V26" s="9"/>
      <c r="W26" s="9"/>
      <c r="X26" s="9"/>
      <c r="Y26" s="9"/>
      <c r="Z26" s="9"/>
      <c r="AA26" s="10"/>
      <c r="AB26" s="10"/>
      <c r="AC26" s="11"/>
      <c r="AD26" s="57"/>
      <c r="AE26" s="5"/>
      <c r="AF26" s="9"/>
      <c r="AG26" s="9"/>
      <c r="AH26" s="9"/>
      <c r="AI26" s="9"/>
      <c r="AJ26" s="9"/>
      <c r="AK26" s="9"/>
      <c r="AL26" s="9"/>
      <c r="AM26" s="10"/>
      <c r="AN26" s="10"/>
      <c r="AO26" s="10"/>
      <c r="AP26" s="10"/>
      <c r="AQ26" s="11"/>
      <c r="AR26" s="57"/>
      <c r="AS26" s="5"/>
      <c r="AT26" s="9"/>
      <c r="AU26" s="9"/>
      <c r="AV26" s="9"/>
      <c r="AW26" s="9"/>
      <c r="AX26" s="9"/>
      <c r="AY26" s="9"/>
      <c r="AZ26" s="10"/>
      <c r="BA26" s="10"/>
      <c r="BB26" s="10"/>
      <c r="BC26" s="10"/>
      <c r="BD26" s="10"/>
      <c r="BE26" s="11"/>
      <c r="BF26" s="57"/>
      <c r="BG26" s="5"/>
      <c r="BH26" s="9"/>
      <c r="BI26" s="9"/>
      <c r="BJ26" s="9"/>
      <c r="BK26" s="9"/>
      <c r="BL26" s="9"/>
      <c r="BM26" s="9"/>
      <c r="BN26" s="9"/>
      <c r="BO26" s="10"/>
      <c r="BP26" s="10"/>
      <c r="BQ26" s="10"/>
      <c r="BR26" s="10"/>
      <c r="BS26" s="11"/>
      <c r="BT26" s="57"/>
      <c r="BU26" s="5"/>
      <c r="BV26" s="9"/>
      <c r="BW26" s="9"/>
      <c r="BX26" s="9"/>
      <c r="BY26" s="9"/>
      <c r="BZ26" s="9"/>
      <c r="CA26" s="9"/>
      <c r="CB26" s="10"/>
      <c r="CC26" s="10"/>
      <c r="CD26" s="10"/>
      <c r="CE26" s="10"/>
      <c r="CF26" s="10"/>
      <c r="CG26" s="11"/>
      <c r="CH26" s="61"/>
      <c r="CI26" s="182"/>
      <c r="CJ26" s="52"/>
      <c r="CK26" s="215">
        <v>50</v>
      </c>
      <c r="CL26" s="213">
        <v>1700</v>
      </c>
      <c r="CM26" s="215" t="s">
        <v>191</v>
      </c>
      <c r="CN26" s="215" t="s">
        <v>190</v>
      </c>
      <c r="CO26" s="185" t="s">
        <v>103</v>
      </c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1:143" s="4" customFormat="1" ht="11.45" customHeight="1" x14ac:dyDescent="0.2">
      <c r="A27" s="182"/>
      <c r="B27" s="44"/>
      <c r="C27" s="12"/>
      <c r="D27" s="13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57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  <c r="AC27" s="15"/>
      <c r="AD27" s="57"/>
      <c r="AE27" s="12"/>
      <c r="AF27" s="13"/>
      <c r="AG27" s="13"/>
      <c r="AH27" s="13"/>
      <c r="AI27" s="13"/>
      <c r="AJ27" s="13"/>
      <c r="AK27" s="13"/>
      <c r="AL27" s="13"/>
      <c r="AM27" s="14"/>
      <c r="AN27" s="14"/>
      <c r="AO27" s="14"/>
      <c r="AP27" s="14"/>
      <c r="AQ27" s="15"/>
      <c r="AR27" s="57"/>
      <c r="AS27" s="12"/>
      <c r="AT27" s="13"/>
      <c r="AU27" s="13"/>
      <c r="AV27" s="13"/>
      <c r="AW27" s="13"/>
      <c r="AX27" s="13"/>
      <c r="AY27" s="13"/>
      <c r="AZ27" s="14"/>
      <c r="BA27" s="14"/>
      <c r="BB27" s="14"/>
      <c r="BC27" s="14"/>
      <c r="BD27" s="14"/>
      <c r="BE27" s="15"/>
      <c r="BF27" s="57"/>
      <c r="BG27" s="12"/>
      <c r="BH27" s="13"/>
      <c r="BI27" s="13"/>
      <c r="BJ27" s="13"/>
      <c r="BK27" s="13"/>
      <c r="BL27" s="13"/>
      <c r="BM27" s="13"/>
      <c r="BN27" s="13"/>
      <c r="BO27" s="14"/>
      <c r="BP27" s="14"/>
      <c r="BQ27" s="14"/>
      <c r="BR27" s="14"/>
      <c r="BS27" s="15"/>
      <c r="BT27" s="57"/>
      <c r="BU27" s="12"/>
      <c r="BV27" s="13"/>
      <c r="BW27" s="13"/>
      <c r="BX27" s="13"/>
      <c r="BY27" s="13"/>
      <c r="BZ27" s="13"/>
      <c r="CA27" s="13"/>
      <c r="CB27" s="14"/>
      <c r="CC27" s="14"/>
      <c r="CD27" s="14"/>
      <c r="CE27" s="14"/>
      <c r="CF27" s="14"/>
      <c r="CG27" s="15"/>
      <c r="CH27" s="61"/>
      <c r="CI27" s="182"/>
      <c r="CJ27" s="52"/>
      <c r="CK27" s="216"/>
      <c r="CL27" s="214"/>
      <c r="CM27" s="216"/>
      <c r="CN27" s="216"/>
      <c r="CO27" s="186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1:143" s="4" customFormat="1" ht="11.45" customHeight="1" x14ac:dyDescent="0.2">
      <c r="A28" s="182">
        <v>1100</v>
      </c>
      <c r="B28" s="44"/>
      <c r="C28" s="5"/>
      <c r="D28" s="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57"/>
      <c r="Q28" s="5"/>
      <c r="R28" s="9"/>
      <c r="S28" s="9"/>
      <c r="T28" s="9"/>
      <c r="U28" s="9"/>
      <c r="V28" s="9"/>
      <c r="W28" s="9"/>
      <c r="X28" s="9"/>
      <c r="Y28" s="9"/>
      <c r="Z28" s="9"/>
      <c r="AA28" s="10"/>
      <c r="AB28" s="10"/>
      <c r="AC28" s="11"/>
      <c r="AD28" s="57"/>
      <c r="AE28" s="5"/>
      <c r="AF28" s="9"/>
      <c r="AG28" s="9"/>
      <c r="AH28" s="9"/>
      <c r="AI28" s="9"/>
      <c r="AJ28" s="9"/>
      <c r="AK28" s="9"/>
      <c r="AL28" s="9"/>
      <c r="AM28" s="10"/>
      <c r="AN28" s="10"/>
      <c r="AO28" s="10"/>
      <c r="AP28" s="10"/>
      <c r="AQ28" s="11"/>
      <c r="AR28" s="57"/>
      <c r="AS28" s="5"/>
      <c r="AT28" s="9"/>
      <c r="AU28" s="9"/>
      <c r="AV28" s="9"/>
      <c r="AW28" s="9"/>
      <c r="AX28" s="9"/>
      <c r="AY28" s="9"/>
      <c r="AZ28" s="10"/>
      <c r="BA28" s="10"/>
      <c r="BB28" s="10"/>
      <c r="BC28" s="10"/>
      <c r="BD28" s="10"/>
      <c r="BE28" s="11"/>
      <c r="BF28" s="57"/>
      <c r="BG28" s="5"/>
      <c r="BH28" s="9"/>
      <c r="BI28" s="9"/>
      <c r="BJ28" s="9"/>
      <c r="BK28" s="9"/>
      <c r="BL28" s="9"/>
      <c r="BM28" s="9"/>
      <c r="BN28" s="9"/>
      <c r="BO28" s="10"/>
      <c r="BP28" s="10"/>
      <c r="BQ28" s="10"/>
      <c r="BR28" s="10"/>
      <c r="BS28" s="11"/>
      <c r="BT28" s="57"/>
      <c r="BU28" s="5"/>
      <c r="BV28" s="9"/>
      <c r="BW28" s="9"/>
      <c r="BX28" s="9"/>
      <c r="BY28" s="9"/>
      <c r="BZ28" s="9"/>
      <c r="CA28" s="9"/>
      <c r="CB28" s="10"/>
      <c r="CC28" s="10"/>
      <c r="CD28" s="10"/>
      <c r="CE28" s="10"/>
      <c r="CF28" s="10"/>
      <c r="CG28" s="11"/>
      <c r="CH28" s="61"/>
      <c r="CI28" s="182">
        <v>1100</v>
      </c>
      <c r="CJ28" s="52"/>
      <c r="CK28" s="215"/>
      <c r="CL28" s="213"/>
      <c r="CM28" s="215"/>
      <c r="CN28" s="215"/>
      <c r="CO28" s="185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1:143" s="4" customFormat="1" ht="11.45" customHeight="1" x14ac:dyDescent="0.2">
      <c r="A29" s="182"/>
      <c r="B29" s="44"/>
      <c r="C29" s="12"/>
      <c r="D29" s="13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57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  <c r="AC29" s="15"/>
      <c r="AD29" s="57"/>
      <c r="AE29" s="12"/>
      <c r="AF29" s="13"/>
      <c r="AG29" s="13"/>
      <c r="AH29" s="13"/>
      <c r="AI29" s="13"/>
      <c r="AJ29" s="13"/>
      <c r="AK29" s="13"/>
      <c r="AL29" s="13"/>
      <c r="AM29" s="14"/>
      <c r="AN29" s="14"/>
      <c r="AO29" s="14"/>
      <c r="AP29" s="14"/>
      <c r="AQ29" s="15"/>
      <c r="AR29" s="57"/>
      <c r="AS29" s="12"/>
      <c r="AT29" s="13"/>
      <c r="AU29" s="13"/>
      <c r="AV29" s="13"/>
      <c r="AW29" s="13"/>
      <c r="AX29" s="13"/>
      <c r="AY29" s="13"/>
      <c r="AZ29" s="14"/>
      <c r="BA29" s="14"/>
      <c r="BB29" s="14"/>
      <c r="BC29" s="14"/>
      <c r="BD29" s="14"/>
      <c r="BE29" s="15"/>
      <c r="BF29" s="57"/>
      <c r="BG29" s="12"/>
      <c r="BH29" s="13"/>
      <c r="BI29" s="13"/>
      <c r="BJ29" s="13"/>
      <c r="BK29" s="13"/>
      <c r="BL29" s="13"/>
      <c r="BM29" s="13"/>
      <c r="BN29" s="13"/>
      <c r="BO29" s="14"/>
      <c r="BP29" s="14"/>
      <c r="BQ29" s="14"/>
      <c r="BR29" s="14"/>
      <c r="BS29" s="15"/>
      <c r="BT29" s="57"/>
      <c r="BU29" s="12"/>
      <c r="BV29" s="13"/>
      <c r="BW29" s="13"/>
      <c r="BX29" s="13"/>
      <c r="BY29" s="13"/>
      <c r="BZ29" s="13"/>
      <c r="CA29" s="13"/>
      <c r="CB29" s="14"/>
      <c r="CC29" s="14"/>
      <c r="CD29" s="14"/>
      <c r="CE29" s="14"/>
      <c r="CF29" s="14"/>
      <c r="CG29" s="15"/>
      <c r="CH29" s="61"/>
      <c r="CI29" s="182"/>
      <c r="CJ29" s="52"/>
      <c r="CK29" s="216"/>
      <c r="CL29" s="214"/>
      <c r="CM29" s="216"/>
      <c r="CN29" s="216"/>
      <c r="CO29" s="186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1:143" s="4" customFormat="1" ht="11.45" customHeight="1" x14ac:dyDescent="0.2">
      <c r="A30" s="182"/>
      <c r="B30" s="44"/>
      <c r="C30" s="5"/>
      <c r="D30" s="9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57"/>
      <c r="Q30" s="5"/>
      <c r="R30" s="9"/>
      <c r="S30" s="9"/>
      <c r="T30" s="9"/>
      <c r="U30" s="9"/>
      <c r="V30" s="9"/>
      <c r="W30" s="9"/>
      <c r="X30" s="9"/>
      <c r="Y30" s="9"/>
      <c r="Z30" s="9"/>
      <c r="AA30" s="10"/>
      <c r="AB30" s="10"/>
      <c r="AC30" s="11"/>
      <c r="AD30" s="57"/>
      <c r="AE30" s="5"/>
      <c r="AF30" s="9"/>
      <c r="AG30" s="9"/>
      <c r="AH30" s="9"/>
      <c r="AI30" s="9"/>
      <c r="AJ30" s="9"/>
      <c r="AK30" s="9"/>
      <c r="AL30" s="9"/>
      <c r="AM30" s="10"/>
      <c r="AN30" s="10"/>
      <c r="AO30" s="10"/>
      <c r="AP30" s="10"/>
      <c r="AQ30" s="11"/>
      <c r="AR30" s="57"/>
      <c r="AS30" s="5"/>
      <c r="AT30" s="9"/>
      <c r="AU30" s="9"/>
      <c r="AV30" s="9"/>
      <c r="AW30" s="9"/>
      <c r="AX30" s="9"/>
      <c r="AY30" s="9"/>
      <c r="AZ30" s="10"/>
      <c r="BA30" s="10"/>
      <c r="BB30" s="10"/>
      <c r="BC30" s="10"/>
      <c r="BD30" s="10"/>
      <c r="BE30" s="11"/>
      <c r="BF30" s="57"/>
      <c r="BG30" s="5"/>
      <c r="BH30" s="9"/>
      <c r="BI30" s="9"/>
      <c r="BJ30" s="9"/>
      <c r="BK30" s="9"/>
      <c r="BL30" s="9"/>
      <c r="BM30" s="9"/>
      <c r="BN30" s="9"/>
      <c r="BO30" s="10"/>
      <c r="BP30" s="10"/>
      <c r="BQ30" s="10"/>
      <c r="BR30" s="10"/>
      <c r="BS30" s="11"/>
      <c r="BT30" s="57"/>
      <c r="BU30" s="5"/>
      <c r="BV30" s="9"/>
      <c r="BW30" s="9"/>
      <c r="BX30" s="9"/>
      <c r="BY30" s="9"/>
      <c r="BZ30" s="9"/>
      <c r="CA30" s="9"/>
      <c r="CB30" s="10"/>
      <c r="CC30" s="10"/>
      <c r="CD30" s="10"/>
      <c r="CE30" s="10"/>
      <c r="CF30" s="10"/>
      <c r="CG30" s="11"/>
      <c r="CH30" s="61"/>
      <c r="CI30" s="182"/>
      <c r="CJ30" s="52"/>
      <c r="CK30" s="215"/>
      <c r="CL30" s="213"/>
      <c r="CM30" s="215"/>
      <c r="CN30" s="215"/>
      <c r="CO30" s="185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1:143" s="4" customFormat="1" ht="11.45" customHeight="1" x14ac:dyDescent="0.2">
      <c r="A31" s="182"/>
      <c r="B31" s="44"/>
      <c r="C31" s="12"/>
      <c r="D31" s="13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57"/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  <c r="AC31" s="15"/>
      <c r="AD31" s="57"/>
      <c r="AE31" s="12"/>
      <c r="AF31" s="13"/>
      <c r="AG31" s="13"/>
      <c r="AH31" s="13"/>
      <c r="AI31" s="13"/>
      <c r="AJ31" s="13"/>
      <c r="AK31" s="13"/>
      <c r="AL31" s="13"/>
      <c r="AM31" s="14"/>
      <c r="AN31" s="14"/>
      <c r="AO31" s="14"/>
      <c r="AP31" s="14"/>
      <c r="AQ31" s="15"/>
      <c r="AR31" s="57"/>
      <c r="AS31" s="12"/>
      <c r="AT31" s="13"/>
      <c r="AU31" s="13"/>
      <c r="AV31" s="13"/>
      <c r="AW31" s="13"/>
      <c r="AX31" s="13"/>
      <c r="AY31" s="13"/>
      <c r="AZ31" s="14"/>
      <c r="BA31" s="14"/>
      <c r="BB31" s="14"/>
      <c r="BC31" s="14"/>
      <c r="BD31" s="14"/>
      <c r="BE31" s="15"/>
      <c r="BF31" s="57"/>
      <c r="BG31" s="12"/>
      <c r="BH31" s="13"/>
      <c r="BI31" s="13"/>
      <c r="BJ31" s="13"/>
      <c r="BK31" s="13"/>
      <c r="BL31" s="13"/>
      <c r="BM31" s="13"/>
      <c r="BN31" s="13"/>
      <c r="BO31" s="14"/>
      <c r="BP31" s="14"/>
      <c r="BQ31" s="14"/>
      <c r="BR31" s="14"/>
      <c r="BS31" s="15"/>
      <c r="BT31" s="57"/>
      <c r="BU31" s="12"/>
      <c r="BV31" s="13"/>
      <c r="BW31" s="13"/>
      <c r="BX31" s="13"/>
      <c r="BY31" s="13"/>
      <c r="BZ31" s="13"/>
      <c r="CA31" s="13"/>
      <c r="CB31" s="14"/>
      <c r="CC31" s="14"/>
      <c r="CD31" s="14"/>
      <c r="CE31" s="14"/>
      <c r="CF31" s="14"/>
      <c r="CG31" s="15"/>
      <c r="CH31" s="61"/>
      <c r="CI31" s="182"/>
      <c r="CJ31" s="52"/>
      <c r="CK31" s="216"/>
      <c r="CL31" s="214"/>
      <c r="CM31" s="216"/>
      <c r="CN31" s="216"/>
      <c r="CO31" s="186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1:143" s="4" customFormat="1" ht="11.45" customHeight="1" x14ac:dyDescent="0.2">
      <c r="A32" s="182">
        <v>1200</v>
      </c>
      <c r="B32" s="44"/>
      <c r="C32" s="5"/>
      <c r="D32" s="9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1"/>
      <c r="P32" s="57"/>
      <c r="Q32" s="5"/>
      <c r="R32" s="9"/>
      <c r="S32" s="9"/>
      <c r="T32" s="9"/>
      <c r="U32" s="9"/>
      <c r="V32" s="9"/>
      <c r="W32" s="9"/>
      <c r="X32" s="9"/>
      <c r="Y32" s="9"/>
      <c r="Z32" s="9"/>
      <c r="AA32" s="10"/>
      <c r="AB32" s="10"/>
      <c r="AC32" s="11"/>
      <c r="AD32" s="57"/>
      <c r="AE32" s="5"/>
      <c r="AF32" s="9"/>
      <c r="AG32" s="9"/>
      <c r="AH32" s="9"/>
      <c r="AI32" s="9"/>
      <c r="AJ32" s="9"/>
      <c r="AK32" s="9"/>
      <c r="AL32" s="9"/>
      <c r="AM32" s="10"/>
      <c r="AN32" s="10"/>
      <c r="AO32" s="10"/>
      <c r="AP32" s="10"/>
      <c r="AQ32" s="11"/>
      <c r="AR32" s="57"/>
      <c r="AS32" s="5"/>
      <c r="AT32" s="9"/>
      <c r="AU32" s="9"/>
      <c r="AV32" s="9"/>
      <c r="AW32" s="9"/>
      <c r="AX32" s="9"/>
      <c r="AY32" s="9"/>
      <c r="AZ32" s="10"/>
      <c r="BA32" s="10"/>
      <c r="BB32" s="10"/>
      <c r="BC32" s="10"/>
      <c r="BD32" s="10"/>
      <c r="BE32" s="11"/>
      <c r="BF32" s="57"/>
      <c r="BG32" s="5"/>
      <c r="BH32" s="9"/>
      <c r="BI32" s="9"/>
      <c r="BJ32" s="9"/>
      <c r="BK32" s="9"/>
      <c r="BL32" s="9"/>
      <c r="BM32" s="9"/>
      <c r="BN32" s="9"/>
      <c r="BO32" s="10"/>
      <c r="BP32" s="10"/>
      <c r="BQ32" s="10"/>
      <c r="BR32" s="10"/>
      <c r="BS32" s="11"/>
      <c r="BT32" s="57"/>
      <c r="BU32" s="5"/>
      <c r="BV32" s="9"/>
      <c r="BW32" s="9"/>
      <c r="BX32" s="9"/>
      <c r="BY32" s="9"/>
      <c r="BZ32" s="9"/>
      <c r="CA32" s="9"/>
      <c r="CB32" s="10"/>
      <c r="CC32" s="10"/>
      <c r="CD32" s="10"/>
      <c r="CE32" s="10"/>
      <c r="CF32" s="10"/>
      <c r="CG32" s="11"/>
      <c r="CH32" s="61"/>
      <c r="CI32" s="182">
        <v>1200</v>
      </c>
      <c r="CJ32" s="52"/>
      <c r="CK32" s="215"/>
      <c r="CL32" s="213"/>
      <c r="CM32" s="215"/>
      <c r="CN32" s="215"/>
      <c r="CO32" s="185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 s="4" customFormat="1" ht="11.45" customHeight="1" x14ac:dyDescent="0.2">
      <c r="A33" s="182"/>
      <c r="B33" s="44"/>
      <c r="C33" s="12"/>
      <c r="D33" s="13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57"/>
      <c r="Q33" s="12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  <c r="AC33" s="15"/>
      <c r="AD33" s="57"/>
      <c r="AE33" s="12"/>
      <c r="AF33" s="13"/>
      <c r="AG33" s="13"/>
      <c r="AH33" s="13"/>
      <c r="AI33" s="13"/>
      <c r="AJ33" s="13"/>
      <c r="AK33" s="13"/>
      <c r="AL33" s="13"/>
      <c r="AM33" s="14"/>
      <c r="AN33" s="14"/>
      <c r="AO33" s="14"/>
      <c r="AP33" s="14"/>
      <c r="AQ33" s="15"/>
      <c r="AR33" s="57"/>
      <c r="AS33" s="12"/>
      <c r="AT33" s="13"/>
      <c r="AU33" s="13"/>
      <c r="AV33" s="13"/>
      <c r="AW33" s="13"/>
      <c r="AX33" s="13"/>
      <c r="AY33" s="13"/>
      <c r="AZ33" s="14"/>
      <c r="BA33" s="14"/>
      <c r="BB33" s="14"/>
      <c r="BC33" s="14"/>
      <c r="BD33" s="14"/>
      <c r="BE33" s="15"/>
      <c r="BF33" s="57"/>
      <c r="BG33" s="12"/>
      <c r="BH33" s="13"/>
      <c r="BI33" s="13"/>
      <c r="BJ33" s="13"/>
      <c r="BK33" s="13"/>
      <c r="BL33" s="13"/>
      <c r="BM33" s="13"/>
      <c r="BN33" s="13"/>
      <c r="BO33" s="14"/>
      <c r="BP33" s="14"/>
      <c r="BQ33" s="14"/>
      <c r="BR33" s="14"/>
      <c r="BS33" s="15"/>
      <c r="BT33" s="57"/>
      <c r="BU33" s="12"/>
      <c r="BV33" s="13"/>
      <c r="BW33" s="13"/>
      <c r="BX33" s="13"/>
      <c r="BY33" s="13"/>
      <c r="BZ33" s="13"/>
      <c r="CA33" s="13"/>
      <c r="CB33" s="14"/>
      <c r="CC33" s="14"/>
      <c r="CD33" s="14"/>
      <c r="CE33" s="14"/>
      <c r="CF33" s="14"/>
      <c r="CG33" s="15"/>
      <c r="CH33" s="61"/>
      <c r="CI33" s="182"/>
      <c r="CJ33" s="52"/>
      <c r="CK33" s="216"/>
      <c r="CL33" s="214"/>
      <c r="CM33" s="216"/>
      <c r="CN33" s="216"/>
      <c r="CO33" s="186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 s="4" customFormat="1" ht="11.45" customHeight="1" x14ac:dyDescent="0.2">
      <c r="A34" s="182"/>
      <c r="B34" s="44"/>
      <c r="C34" s="5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1"/>
      <c r="P34" s="57"/>
      <c r="Q34" s="5"/>
      <c r="R34" s="9"/>
      <c r="S34" s="9"/>
      <c r="T34" s="9"/>
      <c r="U34" s="9"/>
      <c r="V34" s="9"/>
      <c r="W34" s="9"/>
      <c r="X34" s="9"/>
      <c r="Y34" s="9"/>
      <c r="Z34" s="9"/>
      <c r="AA34" s="10"/>
      <c r="AB34" s="10"/>
      <c r="AC34" s="11"/>
      <c r="AD34" s="57"/>
      <c r="AE34" s="5"/>
      <c r="AF34" s="9"/>
      <c r="AG34" s="9"/>
      <c r="AH34" s="9"/>
      <c r="AI34" s="9"/>
      <c r="AJ34" s="9"/>
      <c r="AK34" s="9"/>
      <c r="AL34" s="9"/>
      <c r="AM34" s="10"/>
      <c r="AN34" s="10"/>
      <c r="AO34" s="10"/>
      <c r="AP34" s="10"/>
      <c r="AQ34" s="11"/>
      <c r="AR34" s="57"/>
      <c r="AS34" s="5"/>
      <c r="AT34" s="9"/>
      <c r="AU34" s="9"/>
      <c r="AV34" s="9"/>
      <c r="AW34" s="9"/>
      <c r="AX34" s="9"/>
      <c r="AY34" s="9"/>
      <c r="AZ34" s="10"/>
      <c r="BA34" s="10"/>
      <c r="BB34" s="10"/>
      <c r="BC34" s="10"/>
      <c r="BD34" s="10"/>
      <c r="BE34" s="11"/>
      <c r="BF34" s="57"/>
      <c r="BG34" s="5"/>
      <c r="BH34" s="9"/>
      <c r="BI34" s="9"/>
      <c r="BJ34" s="9"/>
      <c r="BK34" s="9"/>
      <c r="BL34" s="9"/>
      <c r="BM34" s="9"/>
      <c r="BN34" s="9"/>
      <c r="BO34" s="10"/>
      <c r="BP34" s="10"/>
      <c r="BQ34" s="10"/>
      <c r="BR34" s="10"/>
      <c r="BS34" s="11"/>
      <c r="BT34" s="57"/>
      <c r="BU34" s="5"/>
      <c r="BV34" s="9"/>
      <c r="BW34" s="9"/>
      <c r="BX34" s="9"/>
      <c r="BY34" s="9"/>
      <c r="BZ34" s="9"/>
      <c r="CA34" s="9"/>
      <c r="CB34" s="10"/>
      <c r="CC34" s="10"/>
      <c r="CD34" s="10"/>
      <c r="CE34" s="10"/>
      <c r="CF34" s="10"/>
      <c r="CG34" s="11"/>
      <c r="CH34" s="61"/>
      <c r="CI34" s="182"/>
      <c r="CJ34" s="52"/>
      <c r="CK34" s="215"/>
      <c r="CL34" s="213"/>
      <c r="CM34" s="215"/>
      <c r="CN34" s="215"/>
      <c r="CO34" s="185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 s="4" customFormat="1" ht="11.45" customHeight="1" x14ac:dyDescent="0.2">
      <c r="A35" s="182"/>
      <c r="B35" s="44"/>
      <c r="C35" s="12"/>
      <c r="D35" s="13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57"/>
      <c r="Q35" s="12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  <c r="AC35" s="15"/>
      <c r="AD35" s="57"/>
      <c r="AE35" s="12"/>
      <c r="AF35" s="13"/>
      <c r="AG35" s="13"/>
      <c r="AH35" s="13"/>
      <c r="AI35" s="13"/>
      <c r="AJ35" s="13"/>
      <c r="AK35" s="13"/>
      <c r="AL35" s="13"/>
      <c r="AM35" s="14"/>
      <c r="AN35" s="14"/>
      <c r="AO35" s="14"/>
      <c r="AP35" s="14"/>
      <c r="AQ35" s="15"/>
      <c r="AR35" s="57"/>
      <c r="AS35" s="12"/>
      <c r="AT35" s="13"/>
      <c r="AU35" s="13"/>
      <c r="AV35" s="13"/>
      <c r="AW35" s="13"/>
      <c r="AX35" s="13"/>
      <c r="AY35" s="13"/>
      <c r="AZ35" s="14"/>
      <c r="BA35" s="14"/>
      <c r="BB35" s="14"/>
      <c r="BC35" s="14"/>
      <c r="BD35" s="14"/>
      <c r="BE35" s="15"/>
      <c r="BF35" s="57"/>
      <c r="BG35" s="12"/>
      <c r="BH35" s="13"/>
      <c r="BI35" s="13"/>
      <c r="BJ35" s="13"/>
      <c r="BK35" s="13"/>
      <c r="BL35" s="13"/>
      <c r="BM35" s="13"/>
      <c r="BN35" s="13"/>
      <c r="BO35" s="14"/>
      <c r="BP35" s="14"/>
      <c r="BQ35" s="14"/>
      <c r="BR35" s="14"/>
      <c r="BS35" s="15"/>
      <c r="BT35" s="57"/>
      <c r="BU35" s="12"/>
      <c r="BV35" s="13"/>
      <c r="BW35" s="13"/>
      <c r="BX35" s="13"/>
      <c r="BY35" s="13"/>
      <c r="BZ35" s="13"/>
      <c r="CA35" s="13"/>
      <c r="CB35" s="14"/>
      <c r="CC35" s="14"/>
      <c r="CD35" s="14"/>
      <c r="CE35" s="14"/>
      <c r="CF35" s="14"/>
      <c r="CG35" s="15"/>
      <c r="CH35" s="61"/>
      <c r="CI35" s="182"/>
      <c r="CJ35" s="52"/>
      <c r="CK35" s="216"/>
      <c r="CL35" s="214"/>
      <c r="CM35" s="216"/>
      <c r="CN35" s="216"/>
      <c r="CO35" s="186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 s="4" customFormat="1" ht="11.45" customHeight="1" x14ac:dyDescent="0.2">
      <c r="A36" s="182">
        <v>1300</v>
      </c>
      <c r="B36" s="44"/>
      <c r="C36" s="5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57"/>
      <c r="Q36" s="5"/>
      <c r="R36" s="9"/>
      <c r="S36" s="9"/>
      <c r="T36" s="9"/>
      <c r="U36" s="9"/>
      <c r="V36" s="9"/>
      <c r="W36" s="9"/>
      <c r="X36" s="9"/>
      <c r="Y36" s="9"/>
      <c r="Z36" s="9"/>
      <c r="AA36" s="10"/>
      <c r="AB36" s="10"/>
      <c r="AC36" s="11"/>
      <c r="AD36" s="57"/>
      <c r="AE36" s="5"/>
      <c r="AF36" s="9"/>
      <c r="AG36" s="9"/>
      <c r="AH36" s="9"/>
      <c r="AI36" s="9"/>
      <c r="AJ36" s="9"/>
      <c r="AK36" s="9"/>
      <c r="AL36" s="9"/>
      <c r="AM36" s="10"/>
      <c r="AN36" s="10"/>
      <c r="AO36" s="10"/>
      <c r="AP36" s="10"/>
      <c r="AQ36" s="11"/>
      <c r="AR36" s="57"/>
      <c r="AS36" s="5"/>
      <c r="AT36" s="9"/>
      <c r="AU36" s="9"/>
      <c r="AV36" s="9"/>
      <c r="AW36" s="9"/>
      <c r="AX36" s="9"/>
      <c r="AY36" s="9"/>
      <c r="AZ36" s="10"/>
      <c r="BA36" s="10"/>
      <c r="BB36" s="10"/>
      <c r="BC36" s="10"/>
      <c r="BD36" s="10"/>
      <c r="BE36" s="11"/>
      <c r="BF36" s="57"/>
      <c r="BG36" s="5"/>
      <c r="BH36" s="9"/>
      <c r="BI36" s="9"/>
      <c r="BJ36" s="9"/>
      <c r="BK36" s="9"/>
      <c r="BL36" s="9"/>
      <c r="BM36" s="9"/>
      <c r="BN36" s="9"/>
      <c r="BO36" s="10"/>
      <c r="BP36" s="10"/>
      <c r="BQ36" s="10"/>
      <c r="BR36" s="10"/>
      <c r="BS36" s="11"/>
      <c r="BT36" s="57"/>
      <c r="BU36" s="5"/>
      <c r="BV36" s="9"/>
      <c r="BW36" s="9"/>
      <c r="BX36" s="9"/>
      <c r="BY36" s="9"/>
      <c r="BZ36" s="9"/>
      <c r="CA36" s="9"/>
      <c r="CB36" s="10"/>
      <c r="CC36" s="10"/>
      <c r="CD36" s="10"/>
      <c r="CE36" s="10"/>
      <c r="CF36" s="10"/>
      <c r="CG36" s="11"/>
      <c r="CH36" s="61"/>
      <c r="CI36" s="182">
        <v>1300</v>
      </c>
      <c r="CJ36" s="52"/>
      <c r="CK36" s="215"/>
      <c r="CL36" s="213"/>
      <c r="CM36" s="215"/>
      <c r="CN36" s="215"/>
      <c r="CO36" s="185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7" spans="1:143" s="4" customFormat="1" ht="11.45" customHeight="1" x14ac:dyDescent="0.2">
      <c r="A37" s="182"/>
      <c r="B37" s="44"/>
      <c r="C37" s="12"/>
      <c r="D37" s="13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57"/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  <c r="AC37" s="15"/>
      <c r="AD37" s="57"/>
      <c r="AE37" s="12"/>
      <c r="AF37" s="13"/>
      <c r="AG37" s="13"/>
      <c r="AH37" s="13"/>
      <c r="AI37" s="13"/>
      <c r="AJ37" s="13"/>
      <c r="AK37" s="13"/>
      <c r="AL37" s="13"/>
      <c r="AM37" s="14"/>
      <c r="AN37" s="14"/>
      <c r="AO37" s="14"/>
      <c r="AP37" s="14"/>
      <c r="AQ37" s="15"/>
      <c r="AR37" s="57"/>
      <c r="AS37" s="12"/>
      <c r="AT37" s="13"/>
      <c r="AU37" s="13"/>
      <c r="AV37" s="13"/>
      <c r="AW37" s="13"/>
      <c r="AX37" s="13"/>
      <c r="AY37" s="13"/>
      <c r="AZ37" s="14"/>
      <c r="BA37" s="14"/>
      <c r="BB37" s="14"/>
      <c r="BC37" s="14"/>
      <c r="BD37" s="14"/>
      <c r="BE37" s="15"/>
      <c r="BF37" s="57"/>
      <c r="BG37" s="12"/>
      <c r="BH37" s="13"/>
      <c r="BI37" s="13"/>
      <c r="BJ37" s="13"/>
      <c r="BK37" s="13"/>
      <c r="BL37" s="13"/>
      <c r="BM37" s="13"/>
      <c r="BN37" s="13"/>
      <c r="BO37" s="14"/>
      <c r="BP37" s="14"/>
      <c r="BQ37" s="14"/>
      <c r="BR37" s="14"/>
      <c r="BS37" s="15"/>
      <c r="BT37" s="57"/>
      <c r="BU37" s="12"/>
      <c r="BV37" s="13"/>
      <c r="BW37" s="13"/>
      <c r="BX37" s="13"/>
      <c r="BY37" s="13"/>
      <c r="BZ37" s="13"/>
      <c r="CA37" s="13"/>
      <c r="CB37" s="14"/>
      <c r="CC37" s="14"/>
      <c r="CD37" s="14"/>
      <c r="CE37" s="14"/>
      <c r="CF37" s="14"/>
      <c r="CG37" s="15"/>
      <c r="CH37" s="61"/>
      <c r="CI37" s="182"/>
      <c r="CJ37" s="52"/>
      <c r="CK37" s="216"/>
      <c r="CL37" s="214"/>
      <c r="CM37" s="216"/>
      <c r="CN37" s="216"/>
      <c r="CO37" s="186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</row>
    <row r="38" spans="1:143" s="4" customFormat="1" ht="11.45" customHeight="1" x14ac:dyDescent="0.2">
      <c r="A38" s="182"/>
      <c r="B38" s="44"/>
      <c r="C38" s="5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57"/>
      <c r="Q38" s="5"/>
      <c r="R38" s="9"/>
      <c r="S38" s="9"/>
      <c r="T38" s="9"/>
      <c r="U38" s="9"/>
      <c r="V38" s="9"/>
      <c r="W38" s="9"/>
      <c r="X38" s="9"/>
      <c r="Y38" s="9"/>
      <c r="Z38" s="9"/>
      <c r="AA38" s="10"/>
      <c r="AB38" s="10"/>
      <c r="AC38" s="11"/>
      <c r="AD38" s="57"/>
      <c r="AE38" s="5"/>
      <c r="AF38" s="9"/>
      <c r="AG38" s="9"/>
      <c r="AH38" s="9"/>
      <c r="AI38" s="9"/>
      <c r="AJ38" s="9"/>
      <c r="AK38" s="9"/>
      <c r="AL38" s="9"/>
      <c r="AM38" s="10"/>
      <c r="AN38" s="10"/>
      <c r="AO38" s="10"/>
      <c r="AP38" s="10"/>
      <c r="AQ38" s="11"/>
      <c r="AR38" s="57"/>
      <c r="AS38" s="5"/>
      <c r="AT38" s="9"/>
      <c r="AU38" s="9"/>
      <c r="AV38" s="9"/>
      <c r="AW38" s="9"/>
      <c r="AX38" s="9"/>
      <c r="AY38" s="9"/>
      <c r="AZ38" s="10"/>
      <c r="BA38" s="10"/>
      <c r="BB38" s="10"/>
      <c r="BC38" s="10"/>
      <c r="BD38" s="10"/>
      <c r="BE38" s="11"/>
      <c r="BF38" s="57"/>
      <c r="BG38" s="5"/>
      <c r="BH38" s="9"/>
      <c r="BI38" s="9"/>
      <c r="BJ38" s="9"/>
      <c r="BK38" s="9"/>
      <c r="BL38" s="9"/>
      <c r="BM38" s="9"/>
      <c r="BN38" s="9"/>
      <c r="BO38" s="10"/>
      <c r="BP38" s="10"/>
      <c r="BQ38" s="10"/>
      <c r="BR38" s="10"/>
      <c r="BS38" s="11"/>
      <c r="BT38" s="57"/>
      <c r="BU38" s="5"/>
      <c r="BV38" s="9"/>
      <c r="BW38" s="9"/>
      <c r="BX38" s="9"/>
      <c r="BY38" s="9"/>
      <c r="BZ38" s="9"/>
      <c r="CA38" s="9"/>
      <c r="CB38" s="10"/>
      <c r="CC38" s="10"/>
      <c r="CD38" s="10"/>
      <c r="CE38" s="10"/>
      <c r="CF38" s="10"/>
      <c r="CG38" s="11"/>
      <c r="CH38" s="61"/>
      <c r="CI38" s="182"/>
      <c r="CJ38" s="52"/>
      <c r="CK38" s="215"/>
      <c r="CL38" s="213"/>
      <c r="CM38" s="215"/>
      <c r="CN38" s="215"/>
      <c r="CO38" s="185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</row>
    <row r="39" spans="1:143" s="4" customFormat="1" ht="11.45" customHeight="1" x14ac:dyDescent="0.2">
      <c r="A39" s="182"/>
      <c r="B39" s="44"/>
      <c r="C39" s="12"/>
      <c r="D39" s="13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57"/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  <c r="AC39" s="15"/>
      <c r="AD39" s="57"/>
      <c r="AE39" s="12"/>
      <c r="AF39" s="13"/>
      <c r="AG39" s="13"/>
      <c r="AH39" s="13"/>
      <c r="AI39" s="13"/>
      <c r="AJ39" s="13"/>
      <c r="AK39" s="13"/>
      <c r="AL39" s="13"/>
      <c r="AM39" s="14"/>
      <c r="AN39" s="14"/>
      <c r="AO39" s="14"/>
      <c r="AP39" s="14"/>
      <c r="AQ39" s="15"/>
      <c r="AR39" s="57"/>
      <c r="AS39" s="12"/>
      <c r="AT39" s="13"/>
      <c r="AU39" s="13"/>
      <c r="AV39" s="13"/>
      <c r="AW39" s="13"/>
      <c r="AX39" s="13"/>
      <c r="AY39" s="13"/>
      <c r="AZ39" s="14"/>
      <c r="BA39" s="14"/>
      <c r="BB39" s="14"/>
      <c r="BC39" s="14"/>
      <c r="BD39" s="14"/>
      <c r="BE39" s="15"/>
      <c r="BF39" s="57"/>
      <c r="BG39" s="12"/>
      <c r="BH39" s="13"/>
      <c r="BI39" s="13"/>
      <c r="BJ39" s="13"/>
      <c r="BK39" s="13"/>
      <c r="BL39" s="13"/>
      <c r="BM39" s="13"/>
      <c r="BN39" s="13"/>
      <c r="BO39" s="14"/>
      <c r="BP39" s="14"/>
      <c r="BQ39" s="14"/>
      <c r="BR39" s="14"/>
      <c r="BS39" s="15"/>
      <c r="BT39" s="57"/>
      <c r="BU39" s="25"/>
      <c r="BV39" s="6"/>
      <c r="BW39" s="6"/>
      <c r="BX39" s="6"/>
      <c r="BY39" s="6"/>
      <c r="BZ39" s="6"/>
      <c r="CA39" s="6"/>
      <c r="CB39" s="86"/>
      <c r="CC39" s="86"/>
      <c r="CD39" s="86"/>
      <c r="CE39" s="86"/>
      <c r="CF39" s="86"/>
      <c r="CG39" s="87"/>
      <c r="CH39" s="61"/>
      <c r="CI39" s="182"/>
      <c r="CJ39" s="52"/>
      <c r="CK39" s="216"/>
      <c r="CL39" s="214"/>
      <c r="CM39" s="216"/>
      <c r="CN39" s="216"/>
      <c r="CO39" s="186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</row>
    <row r="40" spans="1:143" s="4" customFormat="1" ht="11.45" customHeight="1" x14ac:dyDescent="0.2">
      <c r="A40" s="182">
        <v>1400</v>
      </c>
      <c r="B40" s="44"/>
      <c r="C40" s="5"/>
      <c r="D40" s="9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1"/>
      <c r="P40" s="57"/>
      <c r="Q40" s="5"/>
      <c r="R40" s="9"/>
      <c r="S40" s="9"/>
      <c r="T40" s="9"/>
      <c r="U40" s="9"/>
      <c r="V40" s="9"/>
      <c r="W40" s="9"/>
      <c r="X40" s="9"/>
      <c r="Y40" s="9"/>
      <c r="Z40" s="9"/>
      <c r="AA40" s="10"/>
      <c r="AB40" s="10"/>
      <c r="AC40" s="11"/>
      <c r="AD40" s="57"/>
      <c r="AE40" s="5"/>
      <c r="AF40" s="9"/>
      <c r="AG40" s="9"/>
      <c r="AH40" s="9"/>
      <c r="AI40" s="9"/>
      <c r="AJ40" s="9"/>
      <c r="AK40" s="9"/>
      <c r="AL40" s="9"/>
      <c r="AM40" s="10"/>
      <c r="AN40" s="10"/>
      <c r="AO40" s="10"/>
      <c r="AP40" s="10"/>
      <c r="AQ40" s="11"/>
      <c r="AR40" s="57"/>
      <c r="AS40" s="5"/>
      <c r="AT40" s="9"/>
      <c r="AU40" s="9"/>
      <c r="AV40" s="9"/>
      <c r="AW40" s="9"/>
      <c r="AX40" s="9"/>
      <c r="AY40" s="9"/>
      <c r="AZ40" s="10"/>
      <c r="BA40" s="10"/>
      <c r="BB40" s="10"/>
      <c r="BC40" s="10"/>
      <c r="BD40" s="10"/>
      <c r="BE40" s="11"/>
      <c r="BF40" s="57"/>
      <c r="BG40" s="5"/>
      <c r="BH40" s="9"/>
      <c r="BI40" s="9"/>
      <c r="BJ40" s="9"/>
      <c r="BK40" s="9"/>
      <c r="BL40" s="9"/>
      <c r="BM40" s="9"/>
      <c r="BN40" s="9"/>
      <c r="BO40" s="10"/>
      <c r="BP40" s="10"/>
      <c r="BQ40" s="10"/>
      <c r="BR40" s="10"/>
      <c r="BS40" s="11"/>
      <c r="BT40" s="57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9"/>
      <c r="CH40" s="61"/>
      <c r="CI40" s="182">
        <v>1400</v>
      </c>
      <c r="CJ40" s="52"/>
      <c r="CK40" s="215"/>
      <c r="CL40" s="213"/>
      <c r="CM40" s="215"/>
      <c r="CN40" s="215"/>
      <c r="CO40" s="185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</row>
    <row r="41" spans="1:143" s="4" customFormat="1" ht="11.45" customHeight="1" x14ac:dyDescent="0.2">
      <c r="A41" s="182"/>
      <c r="B41" s="44"/>
      <c r="C41" s="12"/>
      <c r="D41" s="13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57"/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  <c r="AC41" s="15"/>
      <c r="AD41" s="57"/>
      <c r="AE41" s="12"/>
      <c r="AF41" s="13"/>
      <c r="AG41" s="13"/>
      <c r="AH41" s="13"/>
      <c r="AI41" s="13"/>
      <c r="AJ41" s="13"/>
      <c r="AK41" s="13"/>
      <c r="AL41" s="13"/>
      <c r="AM41" s="14"/>
      <c r="AN41" s="14"/>
      <c r="AO41" s="14"/>
      <c r="AP41" s="14"/>
      <c r="AQ41" s="15"/>
      <c r="AR41" s="57"/>
      <c r="AS41" s="12"/>
      <c r="AT41" s="13"/>
      <c r="AU41" s="13"/>
      <c r="AV41" s="13"/>
      <c r="AW41" s="13"/>
      <c r="AX41" s="13"/>
      <c r="AY41" s="13"/>
      <c r="AZ41" s="14"/>
      <c r="BA41" s="14"/>
      <c r="BB41" s="14"/>
      <c r="BC41" s="14"/>
      <c r="BD41" s="14"/>
      <c r="BE41" s="15"/>
      <c r="BF41" s="57"/>
      <c r="BG41" s="12"/>
      <c r="BH41" s="13"/>
      <c r="BI41" s="13"/>
      <c r="BJ41" s="13"/>
      <c r="BK41" s="13"/>
      <c r="BL41" s="13"/>
      <c r="BM41" s="13"/>
      <c r="BN41" s="13"/>
      <c r="BO41" s="14"/>
      <c r="BP41" s="14"/>
      <c r="BQ41" s="14"/>
      <c r="BR41" s="14"/>
      <c r="BS41" s="15"/>
      <c r="BT41" s="57"/>
      <c r="BU41" s="217" t="s">
        <v>42</v>
      </c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9"/>
      <c r="CH41" s="62"/>
      <c r="CI41" s="182"/>
      <c r="CJ41" s="52"/>
      <c r="CK41" s="216"/>
      <c r="CL41" s="214"/>
      <c r="CM41" s="216"/>
      <c r="CN41" s="216"/>
      <c r="CO41" s="186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</row>
    <row r="42" spans="1:143" s="4" customFormat="1" ht="11.45" customHeight="1" x14ac:dyDescent="0.2">
      <c r="A42" s="182"/>
      <c r="B42" s="44"/>
      <c r="C42" s="5"/>
      <c r="D42" s="9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1"/>
      <c r="P42" s="57"/>
      <c r="Q42" s="5"/>
      <c r="R42" s="9"/>
      <c r="S42" s="9"/>
      <c r="T42" s="9"/>
      <c r="U42" s="9"/>
      <c r="V42" s="9"/>
      <c r="W42" s="9"/>
      <c r="X42" s="9"/>
      <c r="Y42" s="9"/>
      <c r="Z42" s="9"/>
      <c r="AA42" s="10"/>
      <c r="AB42" s="10"/>
      <c r="AC42" s="11"/>
      <c r="AD42" s="57"/>
      <c r="AE42" s="5"/>
      <c r="AF42" s="9"/>
      <c r="AG42" s="9"/>
      <c r="AH42" s="9"/>
      <c r="AI42" s="9"/>
      <c r="AJ42" s="9"/>
      <c r="AK42" s="9"/>
      <c r="AL42" s="9"/>
      <c r="AM42" s="10"/>
      <c r="AN42" s="10"/>
      <c r="AO42" s="10"/>
      <c r="AP42" s="10"/>
      <c r="AQ42" s="11"/>
      <c r="AR42" s="57"/>
      <c r="AS42" s="5"/>
      <c r="AT42" s="9"/>
      <c r="AU42" s="9"/>
      <c r="AV42" s="9"/>
      <c r="AW42" s="9"/>
      <c r="AX42" s="9"/>
      <c r="AY42" s="9"/>
      <c r="AZ42" s="10"/>
      <c r="BA42" s="10"/>
      <c r="BB42" s="10"/>
      <c r="BC42" s="10"/>
      <c r="BD42" s="10"/>
      <c r="BE42" s="11"/>
      <c r="BF42" s="57"/>
      <c r="BG42" s="5"/>
      <c r="BH42" s="9"/>
      <c r="BI42" s="9"/>
      <c r="BJ42" s="9"/>
      <c r="BK42" s="9"/>
      <c r="BL42" s="9"/>
      <c r="BM42" s="9"/>
      <c r="BN42" s="9"/>
      <c r="BO42" s="10"/>
      <c r="BP42" s="10"/>
      <c r="BQ42" s="10"/>
      <c r="BR42" s="10"/>
      <c r="BS42" s="11"/>
      <c r="BT42" s="57"/>
      <c r="BU42" s="217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9"/>
      <c r="CH42" s="62"/>
      <c r="CI42" s="182"/>
      <c r="CJ42" s="52"/>
      <c r="CK42" s="215"/>
      <c r="CL42" s="213"/>
      <c r="CM42" s="215"/>
      <c r="CN42" s="215"/>
      <c r="CO42" s="185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</row>
    <row r="43" spans="1:143" s="4" customFormat="1" ht="11.45" customHeight="1" x14ac:dyDescent="0.2">
      <c r="A43" s="182"/>
      <c r="B43" s="44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5"/>
      <c r="P43" s="57"/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  <c r="AC43" s="15"/>
      <c r="AD43" s="57"/>
      <c r="AE43" s="12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24"/>
      <c r="AR43" s="57"/>
      <c r="AS43" s="12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24"/>
      <c r="BF43" s="57"/>
      <c r="BG43" s="12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5"/>
      <c r="BT43" s="57"/>
      <c r="BU43" s="205">
        <f>$U$3+6</f>
        <v>44010</v>
      </c>
      <c r="BV43" s="206"/>
      <c r="BW43" s="206"/>
      <c r="BX43" s="206"/>
      <c r="BY43" s="206"/>
      <c r="BZ43" s="206"/>
      <c r="CA43" s="206"/>
      <c r="CB43" s="206"/>
      <c r="CC43" s="206"/>
      <c r="CD43" s="206"/>
      <c r="CE43" s="206"/>
      <c r="CF43" s="206"/>
      <c r="CG43" s="207"/>
      <c r="CH43" s="63"/>
      <c r="CI43" s="182"/>
      <c r="CJ43" s="52"/>
      <c r="CK43" s="216"/>
      <c r="CL43" s="214"/>
      <c r="CM43" s="216"/>
      <c r="CN43" s="216"/>
      <c r="CO43" s="186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</row>
    <row r="44" spans="1:143" s="4" customFormat="1" ht="11.45" customHeight="1" x14ac:dyDescent="0.2">
      <c r="A44" s="182">
        <v>1500</v>
      </c>
      <c r="B44" s="44"/>
      <c r="C44" s="25"/>
      <c r="D44" s="6"/>
      <c r="E44" s="6"/>
      <c r="F44" s="9"/>
      <c r="G44" s="9"/>
      <c r="H44" s="9"/>
      <c r="I44" s="9"/>
      <c r="J44" s="9"/>
      <c r="K44" s="9"/>
      <c r="L44" s="9"/>
      <c r="M44" s="9"/>
      <c r="N44" s="10"/>
      <c r="O44" s="11"/>
      <c r="P44" s="57"/>
      <c r="Q44" s="5"/>
      <c r="R44" s="6"/>
      <c r="S44" s="6"/>
      <c r="T44" s="6"/>
      <c r="U44" s="6"/>
      <c r="V44" s="6"/>
      <c r="W44" s="6"/>
      <c r="X44" s="6"/>
      <c r="Y44" s="6"/>
      <c r="Z44" s="6"/>
      <c r="AA44" s="9"/>
      <c r="AB44" s="10"/>
      <c r="AC44" s="11"/>
      <c r="AD44" s="57"/>
      <c r="AE44" s="5"/>
      <c r="AF44" s="6"/>
      <c r="AG44" s="6"/>
      <c r="AH44" s="6"/>
      <c r="AI44" s="6"/>
      <c r="AJ44" s="6"/>
      <c r="AK44" s="6"/>
      <c r="AL44" s="6"/>
      <c r="AM44" s="9"/>
      <c r="AN44" s="9"/>
      <c r="AO44" s="9"/>
      <c r="AP44" s="9"/>
      <c r="AQ44" s="11"/>
      <c r="AR44" s="57"/>
      <c r="AS44" s="25"/>
      <c r="AT44" s="6"/>
      <c r="AU44" s="6"/>
      <c r="AV44" s="6"/>
      <c r="AW44" s="6"/>
      <c r="AX44" s="6"/>
      <c r="AY44" s="6"/>
      <c r="AZ44" s="9"/>
      <c r="BA44" s="9"/>
      <c r="BB44" s="9"/>
      <c r="BC44" s="9"/>
      <c r="BD44" s="9"/>
      <c r="BE44" s="11"/>
      <c r="BF44" s="57"/>
      <c r="BG44" s="25"/>
      <c r="BH44" s="6"/>
      <c r="BI44" s="6"/>
      <c r="BJ44" s="6"/>
      <c r="BK44" s="6"/>
      <c r="BL44" s="6"/>
      <c r="BM44" s="6"/>
      <c r="BN44" s="6"/>
      <c r="BO44" s="9"/>
      <c r="BP44" s="9"/>
      <c r="BQ44" s="9"/>
      <c r="BR44" s="9"/>
      <c r="BS44" s="11"/>
      <c r="BT44" s="57"/>
      <c r="BU44" s="208"/>
      <c r="BV44" s="209"/>
      <c r="BW44" s="209"/>
      <c r="BX44" s="209"/>
      <c r="BY44" s="209"/>
      <c r="BZ44" s="209"/>
      <c r="CA44" s="209"/>
      <c r="CB44" s="209"/>
      <c r="CC44" s="209"/>
      <c r="CD44" s="209"/>
      <c r="CE44" s="209"/>
      <c r="CF44" s="209"/>
      <c r="CG44" s="210"/>
      <c r="CH44" s="63"/>
      <c r="CI44" s="182">
        <v>1500</v>
      </c>
      <c r="CJ44" s="52"/>
      <c r="CK44" s="215"/>
      <c r="CL44" s="213"/>
      <c r="CM44" s="215"/>
      <c r="CN44" s="215"/>
      <c r="CO44" s="185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</row>
    <row r="45" spans="1:143" s="4" customFormat="1" ht="11.45" customHeight="1" x14ac:dyDescent="0.2">
      <c r="A45" s="182"/>
      <c r="B45" s="44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5"/>
      <c r="P45" s="57"/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15"/>
      <c r="AD45" s="57"/>
      <c r="AE45" s="12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5"/>
      <c r="AR45" s="57"/>
      <c r="AS45" s="12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5"/>
      <c r="BF45" s="57"/>
      <c r="BG45" s="12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5"/>
      <c r="BT45" s="57"/>
      <c r="BU45" s="12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5"/>
      <c r="CH45" s="61"/>
      <c r="CI45" s="182"/>
      <c r="CJ45" s="52"/>
      <c r="CK45" s="216"/>
      <c r="CL45" s="214"/>
      <c r="CM45" s="216"/>
      <c r="CN45" s="216"/>
      <c r="CO45" s="186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</row>
    <row r="46" spans="1:143" s="4" customFormat="1" ht="11.45" customHeight="1" x14ac:dyDescent="0.2">
      <c r="A46" s="182"/>
      <c r="B46" s="44"/>
      <c r="C46" s="25"/>
      <c r="D46" s="6"/>
      <c r="E46" s="6"/>
      <c r="F46" s="9"/>
      <c r="G46" s="9"/>
      <c r="H46" s="9"/>
      <c r="I46" s="9"/>
      <c r="J46" s="9"/>
      <c r="K46" s="9"/>
      <c r="L46" s="9"/>
      <c r="M46" s="9"/>
      <c r="N46" s="10"/>
      <c r="O46" s="11"/>
      <c r="P46" s="57"/>
      <c r="Q46" s="5"/>
      <c r="R46" s="6"/>
      <c r="S46" s="6"/>
      <c r="T46" s="6"/>
      <c r="U46" s="6"/>
      <c r="V46" s="6"/>
      <c r="W46" s="6"/>
      <c r="X46" s="6"/>
      <c r="Y46" s="6"/>
      <c r="Z46" s="6"/>
      <c r="AA46" s="9"/>
      <c r="AB46" s="10"/>
      <c r="AC46" s="11"/>
      <c r="AD46" s="57"/>
      <c r="AE46" s="5"/>
      <c r="AF46" s="6"/>
      <c r="AG46" s="6"/>
      <c r="AH46" s="6"/>
      <c r="AI46" s="6"/>
      <c r="AJ46" s="6"/>
      <c r="AK46" s="6"/>
      <c r="AL46" s="6"/>
      <c r="AM46" s="9"/>
      <c r="AN46" s="9"/>
      <c r="AO46" s="9"/>
      <c r="AP46" s="9"/>
      <c r="AQ46" s="11"/>
      <c r="AR46" s="57"/>
      <c r="AS46" s="25"/>
      <c r="AT46" s="6"/>
      <c r="AU46" s="6"/>
      <c r="AV46" s="6"/>
      <c r="AW46" s="6"/>
      <c r="AX46" s="6"/>
      <c r="AY46" s="6"/>
      <c r="AZ46" s="9"/>
      <c r="BA46" s="9"/>
      <c r="BB46" s="9"/>
      <c r="BC46" s="9"/>
      <c r="BD46" s="9"/>
      <c r="BE46" s="11"/>
      <c r="BF46" s="57"/>
      <c r="BG46" s="25"/>
      <c r="BH46" s="6"/>
      <c r="BI46" s="6"/>
      <c r="BJ46" s="6"/>
      <c r="BK46" s="6"/>
      <c r="BL46" s="6"/>
      <c r="BM46" s="6"/>
      <c r="BN46" s="6"/>
      <c r="BO46" s="9"/>
      <c r="BP46" s="9"/>
      <c r="BQ46" s="9"/>
      <c r="BR46" s="9"/>
      <c r="BS46" s="11"/>
      <c r="BT46" s="57"/>
      <c r="BU46" s="25"/>
      <c r="BV46" s="6"/>
      <c r="BW46" s="6"/>
      <c r="BX46" s="6"/>
      <c r="BY46" s="6"/>
      <c r="BZ46" s="6"/>
      <c r="CA46" s="6"/>
      <c r="CB46" s="9"/>
      <c r="CC46" s="9"/>
      <c r="CD46" s="9"/>
      <c r="CE46" s="9"/>
      <c r="CF46" s="9"/>
      <c r="CG46" s="11"/>
      <c r="CH46" s="61"/>
      <c r="CI46" s="182"/>
      <c r="CJ46" s="52"/>
      <c r="CK46" s="215"/>
      <c r="CL46" s="213"/>
      <c r="CM46" s="215"/>
      <c r="CN46" s="215"/>
      <c r="CO46" s="185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</row>
    <row r="47" spans="1:143" s="4" customFormat="1" ht="11.45" customHeight="1" x14ac:dyDescent="0.2">
      <c r="A47" s="182"/>
      <c r="B47" s="44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5"/>
      <c r="P47" s="57"/>
      <c r="Q47" s="12"/>
      <c r="R47" s="13"/>
      <c r="S47" s="13"/>
      <c r="T47" s="13"/>
      <c r="U47" s="13"/>
      <c r="V47" s="13"/>
      <c r="W47" s="13"/>
      <c r="X47" s="13"/>
      <c r="Y47" s="13"/>
      <c r="Z47" s="6"/>
      <c r="AA47" s="13"/>
      <c r="AB47" s="14"/>
      <c r="AC47" s="15"/>
      <c r="AD47" s="57"/>
      <c r="AE47" s="12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5"/>
      <c r="AR47" s="57"/>
      <c r="AS47" s="12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5"/>
      <c r="BF47" s="57"/>
      <c r="BG47" s="12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5"/>
      <c r="BT47" s="57"/>
      <c r="BU47" s="12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5"/>
      <c r="CH47" s="61"/>
      <c r="CI47" s="182"/>
      <c r="CJ47" s="52"/>
      <c r="CK47" s="216"/>
      <c r="CL47" s="214"/>
      <c r="CM47" s="216"/>
      <c r="CN47" s="216"/>
      <c r="CO47" s="186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</row>
    <row r="48" spans="1:143" s="4" customFormat="1" ht="11.45" customHeight="1" x14ac:dyDescent="0.2">
      <c r="A48" s="182">
        <v>1600</v>
      </c>
      <c r="B48" s="44"/>
      <c r="C48" s="5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  <c r="O48" s="11"/>
      <c r="P48" s="57"/>
      <c r="Q48" s="5"/>
      <c r="R48" s="9"/>
      <c r="S48" s="9"/>
      <c r="T48" s="9"/>
      <c r="U48" s="9"/>
      <c r="V48" s="9"/>
      <c r="W48" s="9"/>
      <c r="X48" s="9"/>
      <c r="Y48" s="9"/>
      <c r="Z48" s="6"/>
      <c r="AA48" s="9"/>
      <c r="AB48" s="10"/>
      <c r="AC48" s="11"/>
      <c r="AD48" s="57"/>
      <c r="AE48" s="5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11"/>
      <c r="AR48" s="57"/>
      <c r="AS48" s="5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11"/>
      <c r="BF48" s="57"/>
      <c r="BG48" s="5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11"/>
      <c r="BT48" s="57"/>
      <c r="BU48" s="5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11"/>
      <c r="CH48" s="61"/>
      <c r="CI48" s="182">
        <v>1600</v>
      </c>
      <c r="CJ48" s="52"/>
      <c r="CK48" s="215"/>
      <c r="CL48" s="213"/>
      <c r="CM48" s="215"/>
      <c r="CN48" s="215"/>
      <c r="CO48" s="185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1:143" s="4" customFormat="1" ht="11.45" customHeight="1" x14ac:dyDescent="0.2">
      <c r="A49" s="182"/>
      <c r="B49" s="44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5"/>
      <c r="P49" s="57"/>
      <c r="Q49" s="12"/>
      <c r="R49" s="13"/>
      <c r="S49" s="13"/>
      <c r="T49" s="13"/>
      <c r="U49" s="13"/>
      <c r="V49" s="13"/>
      <c r="W49" s="13"/>
      <c r="X49" s="13"/>
      <c r="Y49" s="13"/>
      <c r="Z49" s="6"/>
      <c r="AA49" s="13"/>
      <c r="AB49" s="14"/>
      <c r="AC49" s="15"/>
      <c r="AD49" s="57"/>
      <c r="AE49" s="12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5"/>
      <c r="AR49" s="57"/>
      <c r="AS49" s="12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5"/>
      <c r="BF49" s="57"/>
      <c r="BG49" s="12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5"/>
      <c r="BT49" s="57"/>
      <c r="BU49" s="12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5"/>
      <c r="CH49" s="61"/>
      <c r="CI49" s="182"/>
      <c r="CJ49" s="52"/>
      <c r="CK49" s="216"/>
      <c r="CL49" s="214"/>
      <c r="CM49" s="216"/>
      <c r="CN49" s="216"/>
      <c r="CO49" s="186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1:143" s="4" customFormat="1" ht="11.45" customHeight="1" x14ac:dyDescent="0.2">
      <c r="A50" s="182"/>
      <c r="B50" s="44"/>
      <c r="C50" s="25"/>
      <c r="D50" s="6"/>
      <c r="E50" s="6"/>
      <c r="F50" s="9"/>
      <c r="G50" s="9"/>
      <c r="H50" s="9"/>
      <c r="I50" s="9"/>
      <c r="J50" s="9"/>
      <c r="K50" s="9"/>
      <c r="L50" s="9"/>
      <c r="M50" s="9"/>
      <c r="N50" s="10"/>
      <c r="O50" s="11"/>
      <c r="P50" s="57"/>
      <c r="Q50" s="5"/>
      <c r="R50" s="6"/>
      <c r="S50" s="6"/>
      <c r="T50" s="6"/>
      <c r="U50" s="6"/>
      <c r="V50" s="6"/>
      <c r="W50" s="6"/>
      <c r="X50" s="6"/>
      <c r="Y50" s="6"/>
      <c r="Z50" s="6"/>
      <c r="AA50" s="9"/>
      <c r="AB50" s="10"/>
      <c r="AC50" s="11"/>
      <c r="AD50" s="57"/>
      <c r="AE50" s="5"/>
      <c r="AF50" s="6"/>
      <c r="AG50" s="6"/>
      <c r="AH50" s="6"/>
      <c r="AI50" s="6"/>
      <c r="AJ50" s="6"/>
      <c r="AK50" s="6"/>
      <c r="AL50" s="6"/>
      <c r="AM50" s="9"/>
      <c r="AN50" s="9"/>
      <c r="AO50" s="9"/>
      <c r="AP50" s="9"/>
      <c r="AQ50" s="26"/>
      <c r="AR50" s="57"/>
      <c r="AS50" s="25"/>
      <c r="AT50" s="6"/>
      <c r="AU50" s="6"/>
      <c r="AV50" s="6"/>
      <c r="AW50" s="6"/>
      <c r="AX50" s="6"/>
      <c r="AY50" s="6"/>
      <c r="AZ50" s="9"/>
      <c r="BA50" s="9"/>
      <c r="BB50" s="9"/>
      <c r="BC50" s="9"/>
      <c r="BD50" s="9"/>
      <c r="BE50" s="26"/>
      <c r="BF50" s="57"/>
      <c r="BG50" s="25"/>
      <c r="BH50" s="6"/>
      <c r="BI50" s="6"/>
      <c r="BJ50" s="6"/>
      <c r="BK50" s="6"/>
      <c r="BL50" s="6"/>
      <c r="BM50" s="6"/>
      <c r="BN50" s="6"/>
      <c r="BO50" s="9"/>
      <c r="BP50" s="9"/>
      <c r="BQ50" s="9"/>
      <c r="BR50" s="9"/>
      <c r="BS50" s="11"/>
      <c r="BT50" s="57"/>
      <c r="BU50" s="25"/>
      <c r="BV50" s="6"/>
      <c r="BW50" s="6"/>
      <c r="BX50" s="6"/>
      <c r="BY50" s="6"/>
      <c r="BZ50" s="6"/>
      <c r="CA50" s="6"/>
      <c r="CB50" s="9"/>
      <c r="CC50" s="9"/>
      <c r="CD50" s="9"/>
      <c r="CE50" s="9"/>
      <c r="CF50" s="9"/>
      <c r="CG50" s="26"/>
      <c r="CH50" s="64"/>
      <c r="CI50" s="182"/>
      <c r="CJ50" s="52"/>
      <c r="CK50" s="215"/>
      <c r="CL50" s="213"/>
      <c r="CM50" s="215"/>
      <c r="CN50" s="215"/>
      <c r="CO50" s="185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1:143" s="4" customFormat="1" ht="11.45" customHeight="1" x14ac:dyDescent="0.2">
      <c r="A51" s="182"/>
      <c r="B51" s="44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5"/>
      <c r="P51" s="57"/>
      <c r="Q51" s="12"/>
      <c r="R51" s="13"/>
      <c r="S51" s="13"/>
      <c r="T51" s="13"/>
      <c r="U51" s="13"/>
      <c r="V51" s="13"/>
      <c r="W51" s="13"/>
      <c r="X51" s="13"/>
      <c r="Y51" s="13"/>
      <c r="Z51" s="6"/>
      <c r="AA51" s="13"/>
      <c r="AB51" s="14"/>
      <c r="AC51" s="15"/>
      <c r="AD51" s="57"/>
      <c r="AE51" s="12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27"/>
      <c r="AR51" s="57"/>
      <c r="AS51" s="12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27"/>
      <c r="BF51" s="57"/>
      <c r="BG51" s="12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5"/>
      <c r="BT51" s="57"/>
      <c r="BU51" s="12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27"/>
      <c r="CH51" s="64"/>
      <c r="CI51" s="182"/>
      <c r="CJ51" s="52"/>
      <c r="CK51" s="216"/>
      <c r="CL51" s="214"/>
      <c r="CM51" s="216"/>
      <c r="CN51" s="216"/>
      <c r="CO51" s="186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</row>
    <row r="52" spans="1:143" s="4" customFormat="1" ht="11.45" customHeight="1" x14ac:dyDescent="0.2">
      <c r="A52" s="182">
        <v>1700</v>
      </c>
      <c r="B52" s="44"/>
      <c r="C52" s="25"/>
      <c r="D52" s="6"/>
      <c r="E52" s="6"/>
      <c r="F52" s="9"/>
      <c r="G52" s="9"/>
      <c r="H52" s="9"/>
      <c r="I52" s="9"/>
      <c r="J52" s="9"/>
      <c r="K52" s="9"/>
      <c r="L52" s="9"/>
      <c r="M52" s="9"/>
      <c r="N52" s="10"/>
      <c r="O52" s="11"/>
      <c r="P52" s="57"/>
      <c r="Q52" s="5"/>
      <c r="R52" s="6"/>
      <c r="S52" s="6"/>
      <c r="T52" s="6"/>
      <c r="U52" s="6"/>
      <c r="V52" s="6"/>
      <c r="W52" s="6"/>
      <c r="X52" s="6"/>
      <c r="Y52" s="6"/>
      <c r="Z52" s="6"/>
      <c r="AA52" s="9"/>
      <c r="AB52" s="10"/>
      <c r="AC52" s="11"/>
      <c r="AD52" s="57"/>
      <c r="AE52" s="5"/>
      <c r="AF52" s="6"/>
      <c r="AG52" s="6"/>
      <c r="AH52" s="6"/>
      <c r="AI52" s="6"/>
      <c r="AJ52" s="6"/>
      <c r="AK52" s="6"/>
      <c r="AL52" s="6"/>
      <c r="AM52" s="9"/>
      <c r="AN52" s="9"/>
      <c r="AO52" s="9"/>
      <c r="AP52" s="9"/>
      <c r="AQ52" s="11"/>
      <c r="AR52" s="57"/>
      <c r="AS52" s="25"/>
      <c r="AT52" s="6"/>
      <c r="AU52" s="6"/>
      <c r="AV52" s="6"/>
      <c r="AW52" s="6"/>
      <c r="AX52" s="6"/>
      <c r="AY52" s="6"/>
      <c r="AZ52" s="9"/>
      <c r="BA52" s="9"/>
      <c r="BB52" s="9"/>
      <c r="BC52" s="9"/>
      <c r="BD52" s="9"/>
      <c r="BE52" s="11"/>
      <c r="BF52" s="57"/>
      <c r="BG52" s="25"/>
      <c r="BH52" s="6"/>
      <c r="BI52" s="6"/>
      <c r="BJ52" s="6"/>
      <c r="BK52" s="6"/>
      <c r="BL52" s="6"/>
      <c r="BM52" s="6"/>
      <c r="BN52" s="6"/>
      <c r="BO52" s="9"/>
      <c r="BP52" s="9"/>
      <c r="BQ52" s="9"/>
      <c r="BR52" s="9"/>
      <c r="BS52" s="11"/>
      <c r="BT52" s="57"/>
      <c r="BU52" s="25"/>
      <c r="BV52" s="6"/>
      <c r="BW52" s="6"/>
      <c r="BX52" s="6"/>
      <c r="BY52" s="6"/>
      <c r="BZ52" s="6"/>
      <c r="CA52" s="6"/>
      <c r="CB52" s="9"/>
      <c r="CC52" s="9"/>
      <c r="CD52" s="9"/>
      <c r="CE52" s="9"/>
      <c r="CF52" s="9"/>
      <c r="CG52" s="11"/>
      <c r="CH52" s="61"/>
      <c r="CI52" s="182">
        <v>1700</v>
      </c>
      <c r="CJ52" s="52"/>
      <c r="CK52" s="69"/>
      <c r="CL52" s="59"/>
      <c r="CM52" s="59"/>
      <c r="CN52" s="59"/>
      <c r="CO52" s="60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</row>
    <row r="53" spans="1:143" s="4" customFormat="1" ht="11.45" customHeight="1" x14ac:dyDescent="0.2">
      <c r="A53" s="182"/>
      <c r="B53" s="44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5"/>
      <c r="P53" s="57"/>
      <c r="Q53" s="12"/>
      <c r="R53" s="13"/>
      <c r="S53" s="13"/>
      <c r="T53" s="13"/>
      <c r="U53" s="13"/>
      <c r="V53" s="13"/>
      <c r="W53" s="13"/>
      <c r="X53" s="13"/>
      <c r="Y53" s="13"/>
      <c r="Z53" s="6"/>
      <c r="AA53" s="13"/>
      <c r="AB53" s="14"/>
      <c r="AC53" s="15"/>
      <c r="AD53" s="57"/>
      <c r="AE53" s="12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5"/>
      <c r="AR53" s="57"/>
      <c r="AS53" s="12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5"/>
      <c r="BF53" s="57"/>
      <c r="BG53" s="12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5"/>
      <c r="BT53" s="57"/>
      <c r="BU53" s="12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5"/>
      <c r="CH53" s="61"/>
      <c r="CI53" s="182"/>
      <c r="CJ53" s="52"/>
      <c r="CK53" s="187" t="s">
        <v>50</v>
      </c>
      <c r="CL53" s="188"/>
      <c r="CM53" s="188"/>
      <c r="CN53" s="188"/>
      <c r="CO53" s="189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</row>
    <row r="54" spans="1:143" s="4" customFormat="1" ht="11.45" customHeight="1" x14ac:dyDescent="0.2">
      <c r="A54" s="182"/>
      <c r="B54" s="44"/>
      <c r="C54" s="5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  <c r="O54" s="11"/>
      <c r="P54" s="57"/>
      <c r="Q54" s="5"/>
      <c r="R54" s="9"/>
      <c r="S54" s="9"/>
      <c r="T54" s="9"/>
      <c r="U54" s="9"/>
      <c r="V54" s="9"/>
      <c r="W54" s="9"/>
      <c r="X54" s="9"/>
      <c r="Y54" s="9"/>
      <c r="Z54" s="6"/>
      <c r="AA54" s="9"/>
      <c r="AB54" s="10"/>
      <c r="AC54" s="11"/>
      <c r="AD54" s="57"/>
      <c r="AE54" s="5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11"/>
      <c r="AR54" s="57"/>
      <c r="AS54" s="5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11"/>
      <c r="BF54" s="57"/>
      <c r="BG54" s="5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11"/>
      <c r="BT54" s="57"/>
      <c r="BU54" s="25"/>
      <c r="BV54" s="6"/>
      <c r="BW54" s="6"/>
      <c r="BX54" s="6"/>
      <c r="BY54" s="6"/>
      <c r="BZ54" s="6"/>
      <c r="CA54" s="6"/>
      <c r="CB54" s="9"/>
      <c r="CC54" s="9"/>
      <c r="CD54" s="9"/>
      <c r="CE54" s="9"/>
      <c r="CF54" s="9"/>
      <c r="CG54" s="11"/>
      <c r="CH54" s="61"/>
      <c r="CI54" s="182"/>
      <c r="CJ54" s="52"/>
      <c r="CK54" s="190"/>
      <c r="CL54" s="191"/>
      <c r="CM54" s="191"/>
      <c r="CN54" s="191"/>
      <c r="CO54" s="192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1:143" s="4" customFormat="1" ht="11.45" customHeight="1" x14ac:dyDescent="0.2">
      <c r="A55" s="182"/>
      <c r="B55" s="44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5"/>
      <c r="P55" s="57"/>
      <c r="Q55" s="12"/>
      <c r="R55" s="13"/>
      <c r="S55" s="13"/>
      <c r="T55" s="13"/>
      <c r="U55" s="13"/>
      <c r="V55" s="13"/>
      <c r="W55" s="13"/>
      <c r="X55" s="13"/>
      <c r="Y55" s="13"/>
      <c r="Z55" s="6"/>
      <c r="AA55" s="13"/>
      <c r="AB55" s="14"/>
      <c r="AC55" s="15"/>
      <c r="AD55" s="57"/>
      <c r="AE55" s="12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5"/>
      <c r="AR55" s="57"/>
      <c r="AS55" s="12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5"/>
      <c r="BF55" s="57"/>
      <c r="BG55" s="12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5"/>
      <c r="BT55" s="57"/>
      <c r="BU55" s="12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5"/>
      <c r="CH55" s="61"/>
      <c r="CI55" s="182"/>
      <c r="CJ55" s="52"/>
      <c r="CK55" s="193" t="s">
        <v>125</v>
      </c>
      <c r="CL55" s="194"/>
      <c r="CM55" s="194"/>
      <c r="CN55" s="194"/>
      <c r="CO55" s="195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</row>
    <row r="56" spans="1:143" s="4" customFormat="1" ht="11.45" customHeight="1" x14ac:dyDescent="0.2">
      <c r="A56" s="182">
        <v>1800</v>
      </c>
      <c r="B56" s="44"/>
      <c r="C56" s="5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1"/>
      <c r="P56" s="57"/>
      <c r="Q56" s="5"/>
      <c r="R56" s="9"/>
      <c r="S56" s="9"/>
      <c r="T56" s="9"/>
      <c r="U56" s="9"/>
      <c r="V56" s="9"/>
      <c r="W56" s="9"/>
      <c r="X56" s="9"/>
      <c r="Y56" s="9"/>
      <c r="Z56" s="6"/>
      <c r="AA56" s="10"/>
      <c r="AB56" s="10"/>
      <c r="AC56" s="11"/>
      <c r="AD56" s="57"/>
      <c r="AE56" s="5"/>
      <c r="AF56" s="9"/>
      <c r="AG56" s="9"/>
      <c r="AH56" s="9"/>
      <c r="AI56" s="9"/>
      <c r="AJ56" s="9"/>
      <c r="AK56" s="9"/>
      <c r="AL56" s="9"/>
      <c r="AM56" s="10"/>
      <c r="AN56" s="10"/>
      <c r="AO56" s="10"/>
      <c r="AP56" s="10"/>
      <c r="AQ56" s="11"/>
      <c r="AR56" s="57"/>
      <c r="AS56" s="5"/>
      <c r="AT56" s="9"/>
      <c r="AU56" s="9"/>
      <c r="AV56" s="9"/>
      <c r="AW56" s="9"/>
      <c r="AX56" s="9"/>
      <c r="AY56" s="9"/>
      <c r="AZ56" s="10"/>
      <c r="BA56" s="10"/>
      <c r="BB56" s="10"/>
      <c r="BC56" s="10"/>
      <c r="BD56" s="10"/>
      <c r="BE56" s="11"/>
      <c r="BF56" s="57"/>
      <c r="BG56" s="5"/>
      <c r="BH56" s="9"/>
      <c r="BI56" s="9"/>
      <c r="BJ56" s="9"/>
      <c r="BK56" s="9"/>
      <c r="BL56" s="9"/>
      <c r="BM56" s="9"/>
      <c r="BN56" s="9"/>
      <c r="BO56" s="10"/>
      <c r="BP56" s="10"/>
      <c r="BQ56" s="10"/>
      <c r="BR56" s="10"/>
      <c r="BS56" s="11"/>
      <c r="BT56" s="57"/>
      <c r="BU56" s="25"/>
      <c r="BV56" s="6"/>
      <c r="BW56" s="6"/>
      <c r="BX56" s="6"/>
      <c r="BY56" s="6"/>
      <c r="BZ56" s="6"/>
      <c r="CA56" s="6"/>
      <c r="CB56" s="9"/>
      <c r="CC56" s="9"/>
      <c r="CD56" s="9"/>
      <c r="CE56" s="9"/>
      <c r="CF56" s="9"/>
      <c r="CG56" s="11"/>
      <c r="CH56" s="61"/>
      <c r="CI56" s="182">
        <v>1800</v>
      </c>
      <c r="CJ56" s="52"/>
      <c r="CK56" s="196"/>
      <c r="CL56" s="197"/>
      <c r="CM56" s="197"/>
      <c r="CN56" s="197"/>
      <c r="CO56" s="198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</row>
    <row r="57" spans="1:143" s="4" customFormat="1" ht="11.45" customHeight="1" x14ac:dyDescent="0.2">
      <c r="A57" s="182"/>
      <c r="B57" s="44"/>
      <c r="C57" s="12"/>
      <c r="D57" s="13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57"/>
      <c r="Q57" s="12"/>
      <c r="R57" s="13"/>
      <c r="S57" s="13"/>
      <c r="T57" s="13"/>
      <c r="U57" s="13"/>
      <c r="V57" s="13"/>
      <c r="W57" s="13"/>
      <c r="X57" s="13"/>
      <c r="Y57" s="13"/>
      <c r="Z57" s="6"/>
      <c r="AA57" s="14"/>
      <c r="AB57" s="14"/>
      <c r="AC57" s="15"/>
      <c r="AD57" s="57"/>
      <c r="AE57" s="12"/>
      <c r="AF57" s="13"/>
      <c r="AG57" s="13"/>
      <c r="AH57" s="13"/>
      <c r="AI57" s="13"/>
      <c r="AJ57" s="13"/>
      <c r="AK57" s="13"/>
      <c r="AL57" s="13"/>
      <c r="AM57" s="14"/>
      <c r="AN57" s="14"/>
      <c r="AO57" s="14"/>
      <c r="AP57" s="14"/>
      <c r="AQ57" s="15"/>
      <c r="AR57" s="57"/>
      <c r="AS57" s="12"/>
      <c r="AT57" s="13"/>
      <c r="AU57" s="13"/>
      <c r="AV57" s="13"/>
      <c r="AW57" s="13"/>
      <c r="AX57" s="13"/>
      <c r="AY57" s="13"/>
      <c r="AZ57" s="14"/>
      <c r="BA57" s="14"/>
      <c r="BB57" s="14"/>
      <c r="BC57" s="14"/>
      <c r="BD57" s="14"/>
      <c r="BE57" s="15"/>
      <c r="BF57" s="57"/>
      <c r="BG57" s="12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5"/>
      <c r="BT57" s="57"/>
      <c r="BU57" s="12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5"/>
      <c r="CH57" s="61"/>
      <c r="CI57" s="182"/>
      <c r="CJ57" s="52"/>
      <c r="CK57" s="193" t="s">
        <v>55</v>
      </c>
      <c r="CL57" s="194"/>
      <c r="CM57" s="194"/>
      <c r="CN57" s="194"/>
      <c r="CO57" s="195"/>
      <c r="CP57" s="3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</row>
    <row r="58" spans="1:143" s="4" customFormat="1" ht="11.45" customHeight="1" x14ac:dyDescent="0.2">
      <c r="A58" s="182"/>
      <c r="B58" s="44"/>
      <c r="C58" s="5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1"/>
      <c r="P58" s="57"/>
      <c r="Q58" s="5"/>
      <c r="R58" s="9"/>
      <c r="S58" s="9"/>
      <c r="T58" s="9"/>
      <c r="U58" s="9"/>
      <c r="V58" s="9"/>
      <c r="W58" s="9"/>
      <c r="X58" s="9"/>
      <c r="Y58" s="9"/>
      <c r="Z58" s="9"/>
      <c r="AA58" s="10"/>
      <c r="AB58" s="10"/>
      <c r="AC58" s="11"/>
      <c r="AD58" s="57"/>
      <c r="AE58" s="5"/>
      <c r="AF58" s="9"/>
      <c r="AG58" s="9"/>
      <c r="AH58" s="9"/>
      <c r="AI58" s="9"/>
      <c r="AJ58" s="9"/>
      <c r="AK58" s="9"/>
      <c r="AL58" s="9"/>
      <c r="AM58" s="10"/>
      <c r="AN58" s="10"/>
      <c r="AO58" s="10"/>
      <c r="AP58" s="10"/>
      <c r="AQ58" s="11"/>
      <c r="AR58" s="57"/>
      <c r="AS58" s="5"/>
      <c r="AT58" s="9"/>
      <c r="AU58" s="9"/>
      <c r="AV58" s="9"/>
      <c r="AW58" s="9"/>
      <c r="AX58" s="9"/>
      <c r="AY58" s="9"/>
      <c r="AZ58" s="10"/>
      <c r="BA58" s="10"/>
      <c r="BB58" s="10"/>
      <c r="BC58" s="10"/>
      <c r="BD58" s="10"/>
      <c r="BE58" s="11"/>
      <c r="BF58" s="57"/>
      <c r="BG58" s="5"/>
      <c r="BH58" s="9"/>
      <c r="BI58" s="9"/>
      <c r="BJ58" s="9"/>
      <c r="BK58" s="9"/>
      <c r="BL58" s="9"/>
      <c r="BM58" s="9"/>
      <c r="BN58" s="9"/>
      <c r="BO58" s="10"/>
      <c r="BP58" s="10"/>
      <c r="BQ58" s="10"/>
      <c r="BR58" s="10"/>
      <c r="BS58" s="11"/>
      <c r="BT58" s="57"/>
      <c r="BU58" s="25"/>
      <c r="BV58" s="6"/>
      <c r="BW58" s="6"/>
      <c r="BX58" s="6"/>
      <c r="BY58" s="6"/>
      <c r="BZ58" s="6"/>
      <c r="CA58" s="6"/>
      <c r="CB58" s="9"/>
      <c r="CC58" s="9"/>
      <c r="CD58" s="9"/>
      <c r="CE58" s="9"/>
      <c r="CF58" s="9"/>
      <c r="CG58" s="11"/>
      <c r="CH58" s="61"/>
      <c r="CI58" s="182"/>
      <c r="CJ58" s="52"/>
      <c r="CK58" s="196"/>
      <c r="CL58" s="197"/>
      <c r="CM58" s="197"/>
      <c r="CN58" s="197"/>
      <c r="CO58" s="198"/>
      <c r="CP58" s="3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</row>
    <row r="59" spans="1:143" s="4" customFormat="1" ht="11.45" customHeight="1" x14ac:dyDescent="0.2">
      <c r="A59" s="182"/>
      <c r="B59" s="44"/>
      <c r="C59" s="12"/>
      <c r="D59" s="13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57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  <c r="AC59" s="15"/>
      <c r="AD59" s="57"/>
      <c r="AE59" s="12"/>
      <c r="AF59" s="13"/>
      <c r="AG59" s="13"/>
      <c r="AH59" s="13"/>
      <c r="AI59" s="13"/>
      <c r="AJ59" s="13"/>
      <c r="AK59" s="13"/>
      <c r="AL59" s="13"/>
      <c r="AM59" s="14"/>
      <c r="AN59" s="14"/>
      <c r="AO59" s="14"/>
      <c r="AP59" s="14"/>
      <c r="AQ59" s="15"/>
      <c r="AR59" s="57"/>
      <c r="AS59" s="12"/>
      <c r="AT59" s="13"/>
      <c r="AU59" s="13"/>
      <c r="AV59" s="13"/>
      <c r="AW59" s="13"/>
      <c r="AX59" s="13"/>
      <c r="AY59" s="13"/>
      <c r="AZ59" s="14"/>
      <c r="BA59" s="14"/>
      <c r="BB59" s="14"/>
      <c r="BC59" s="14"/>
      <c r="BD59" s="14"/>
      <c r="BE59" s="15"/>
      <c r="BF59" s="57"/>
      <c r="BG59" s="12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5"/>
      <c r="BT59" s="57"/>
      <c r="BU59" s="12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5"/>
      <c r="CH59" s="61"/>
      <c r="CI59" s="182"/>
      <c r="CJ59" s="52"/>
      <c r="CK59" s="193" t="s">
        <v>112</v>
      </c>
      <c r="CL59" s="194"/>
      <c r="CM59" s="194"/>
      <c r="CN59" s="194"/>
      <c r="CO59" s="195"/>
      <c r="CP59" s="3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</row>
    <row r="60" spans="1:143" s="4" customFormat="1" ht="11.45" customHeight="1" x14ac:dyDescent="0.2">
      <c r="A60" s="182">
        <v>1900</v>
      </c>
      <c r="B60" s="44"/>
      <c r="C60" s="5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1"/>
      <c r="P60" s="57"/>
      <c r="Q60" s="5"/>
      <c r="R60" s="9"/>
      <c r="S60" s="9"/>
      <c r="T60" s="9"/>
      <c r="U60" s="9"/>
      <c r="V60" s="9"/>
      <c r="W60" s="9"/>
      <c r="X60" s="9"/>
      <c r="Y60" s="9"/>
      <c r="Z60" s="9"/>
      <c r="AA60" s="10"/>
      <c r="AB60" s="10"/>
      <c r="AC60" s="11"/>
      <c r="AD60" s="57"/>
      <c r="AE60" s="5"/>
      <c r="AF60" s="9"/>
      <c r="AG60" s="9"/>
      <c r="AH60" s="9"/>
      <c r="AI60" s="9"/>
      <c r="AJ60" s="9"/>
      <c r="AK60" s="9"/>
      <c r="AL60" s="9"/>
      <c r="AM60" s="10"/>
      <c r="AN60" s="10"/>
      <c r="AO60" s="10"/>
      <c r="AP60" s="10"/>
      <c r="AQ60" s="11"/>
      <c r="AR60" s="57"/>
      <c r="AS60" s="5"/>
      <c r="AT60" s="9"/>
      <c r="AU60" s="9"/>
      <c r="AV60" s="9"/>
      <c r="AW60" s="9"/>
      <c r="AX60" s="9"/>
      <c r="AY60" s="9"/>
      <c r="AZ60" s="10"/>
      <c r="BA60" s="10"/>
      <c r="BB60" s="10"/>
      <c r="BC60" s="10"/>
      <c r="BD60" s="10"/>
      <c r="BE60" s="11"/>
      <c r="BF60" s="57"/>
      <c r="BG60" s="5"/>
      <c r="BH60" s="9"/>
      <c r="BI60" s="9"/>
      <c r="BJ60" s="9"/>
      <c r="BK60" s="9"/>
      <c r="BL60" s="9"/>
      <c r="BM60" s="9"/>
      <c r="BN60" s="9"/>
      <c r="BO60" s="10"/>
      <c r="BP60" s="10"/>
      <c r="BQ60" s="10"/>
      <c r="BR60" s="10"/>
      <c r="BS60" s="11"/>
      <c r="BT60" s="57"/>
      <c r="BU60" s="25"/>
      <c r="BV60" s="6"/>
      <c r="BW60" s="6"/>
      <c r="BX60" s="6"/>
      <c r="BY60" s="6"/>
      <c r="BZ60" s="6"/>
      <c r="CA60" s="6"/>
      <c r="CB60" s="9"/>
      <c r="CC60" s="9"/>
      <c r="CD60" s="9"/>
      <c r="CE60" s="9"/>
      <c r="CF60" s="9"/>
      <c r="CG60" s="11"/>
      <c r="CH60" s="61"/>
      <c r="CI60" s="182">
        <v>1900</v>
      </c>
      <c r="CJ60" s="52"/>
      <c r="CK60" s="196"/>
      <c r="CL60" s="197"/>
      <c r="CM60" s="197"/>
      <c r="CN60" s="197"/>
      <c r="CO60" s="198"/>
      <c r="CP60" s="3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</row>
    <row r="61" spans="1:143" s="4" customFormat="1" ht="11.45" customHeight="1" x14ac:dyDescent="0.2">
      <c r="A61" s="182"/>
      <c r="B61" s="44"/>
      <c r="C61" s="12"/>
      <c r="D61" s="13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57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  <c r="AC61" s="15"/>
      <c r="AD61" s="57"/>
      <c r="AE61" s="12"/>
      <c r="AF61" s="13"/>
      <c r="AG61" s="13"/>
      <c r="AH61" s="13"/>
      <c r="AI61" s="13"/>
      <c r="AJ61" s="13"/>
      <c r="AK61" s="13"/>
      <c r="AL61" s="13"/>
      <c r="AM61" s="14"/>
      <c r="AN61" s="14"/>
      <c r="AO61" s="14"/>
      <c r="AP61" s="14"/>
      <c r="AQ61" s="15"/>
      <c r="AR61" s="57"/>
      <c r="AS61" s="12"/>
      <c r="AT61" s="13"/>
      <c r="AU61" s="13"/>
      <c r="AV61" s="13"/>
      <c r="AW61" s="13"/>
      <c r="AX61" s="13"/>
      <c r="AY61" s="13"/>
      <c r="AZ61" s="14"/>
      <c r="BA61" s="14"/>
      <c r="BB61" s="14"/>
      <c r="BC61" s="14"/>
      <c r="BD61" s="14"/>
      <c r="BE61" s="15"/>
      <c r="BF61" s="57"/>
      <c r="BG61" s="12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5"/>
      <c r="BT61" s="57"/>
      <c r="BU61" s="12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5"/>
      <c r="CH61" s="61"/>
      <c r="CI61" s="182"/>
      <c r="CJ61" s="52"/>
      <c r="CK61" s="193" t="s">
        <v>97</v>
      </c>
      <c r="CL61" s="194"/>
      <c r="CM61" s="194"/>
      <c r="CN61" s="194"/>
      <c r="CO61" s="195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1:143" s="4" customFormat="1" ht="11.45" customHeight="1" x14ac:dyDescent="0.2">
      <c r="A62" s="182"/>
      <c r="B62" s="44"/>
      <c r="C62" s="5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1"/>
      <c r="P62" s="57"/>
      <c r="Q62" s="5"/>
      <c r="R62" s="9"/>
      <c r="S62" s="9"/>
      <c r="T62" s="9"/>
      <c r="U62" s="9"/>
      <c r="V62" s="9"/>
      <c r="W62" s="9"/>
      <c r="X62" s="9"/>
      <c r="Y62" s="9"/>
      <c r="Z62" s="9"/>
      <c r="AA62" s="10"/>
      <c r="AB62" s="10"/>
      <c r="AC62" s="11"/>
      <c r="AD62" s="57"/>
      <c r="AE62" s="5"/>
      <c r="AF62" s="9"/>
      <c r="AG62" s="9"/>
      <c r="AH62" s="9"/>
      <c r="AI62" s="9"/>
      <c r="AJ62" s="9"/>
      <c r="AK62" s="9"/>
      <c r="AL62" s="9"/>
      <c r="AM62" s="10"/>
      <c r="AN62" s="10"/>
      <c r="AO62" s="10"/>
      <c r="AP62" s="10"/>
      <c r="AQ62" s="11"/>
      <c r="AR62" s="57"/>
      <c r="AS62" s="5"/>
      <c r="AT62" s="9"/>
      <c r="AU62" s="9"/>
      <c r="AV62" s="9"/>
      <c r="AW62" s="9"/>
      <c r="AX62" s="9"/>
      <c r="AY62" s="9"/>
      <c r="AZ62" s="10"/>
      <c r="BA62" s="10"/>
      <c r="BB62" s="10"/>
      <c r="BC62" s="10"/>
      <c r="BD62" s="10"/>
      <c r="BE62" s="11"/>
      <c r="BF62" s="57"/>
      <c r="BG62" s="5"/>
      <c r="BH62" s="9"/>
      <c r="BI62" s="9"/>
      <c r="BJ62" s="9"/>
      <c r="BK62" s="9"/>
      <c r="BL62" s="9"/>
      <c r="BM62" s="9"/>
      <c r="BN62" s="9"/>
      <c r="BO62" s="10"/>
      <c r="BP62" s="10"/>
      <c r="BQ62" s="10"/>
      <c r="BR62" s="10"/>
      <c r="BS62" s="11"/>
      <c r="BT62" s="57"/>
      <c r="BU62" s="25"/>
      <c r="BV62" s="6"/>
      <c r="BW62" s="6"/>
      <c r="BX62" s="6"/>
      <c r="BY62" s="6"/>
      <c r="BZ62" s="6"/>
      <c r="CA62" s="6"/>
      <c r="CB62" s="9"/>
      <c r="CC62" s="9"/>
      <c r="CD62" s="9"/>
      <c r="CE62" s="9"/>
      <c r="CF62" s="9"/>
      <c r="CG62" s="11"/>
      <c r="CH62" s="61"/>
      <c r="CI62" s="182"/>
      <c r="CJ62" s="52"/>
      <c r="CK62" s="196"/>
      <c r="CL62" s="197"/>
      <c r="CM62" s="197"/>
      <c r="CN62" s="197"/>
      <c r="CO62" s="198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</row>
    <row r="63" spans="1:143" s="4" customFormat="1" ht="11.45" customHeight="1" x14ac:dyDescent="0.2">
      <c r="A63" s="182"/>
      <c r="B63" s="44"/>
      <c r="C63" s="12"/>
      <c r="D63" s="13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57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  <c r="AC63" s="15"/>
      <c r="AD63" s="57"/>
      <c r="AE63" s="12"/>
      <c r="AF63" s="13"/>
      <c r="AG63" s="13"/>
      <c r="AH63" s="13"/>
      <c r="AI63" s="13"/>
      <c r="AJ63" s="13"/>
      <c r="AK63" s="13"/>
      <c r="AL63" s="13"/>
      <c r="AM63" s="14"/>
      <c r="AN63" s="14"/>
      <c r="AO63" s="14"/>
      <c r="AP63" s="14"/>
      <c r="AQ63" s="15"/>
      <c r="AR63" s="57"/>
      <c r="AS63" s="12"/>
      <c r="AT63" s="13"/>
      <c r="AU63" s="13"/>
      <c r="AV63" s="13"/>
      <c r="AW63" s="13"/>
      <c r="AX63" s="13"/>
      <c r="AY63" s="13"/>
      <c r="AZ63" s="14"/>
      <c r="BA63" s="14"/>
      <c r="BB63" s="14"/>
      <c r="BC63" s="14"/>
      <c r="BD63" s="14"/>
      <c r="BE63" s="15"/>
      <c r="BF63" s="57"/>
      <c r="BG63" s="12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5"/>
      <c r="BT63" s="57"/>
      <c r="BU63" s="12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5"/>
      <c r="CH63" s="61"/>
      <c r="CI63" s="182"/>
      <c r="CJ63" s="52"/>
      <c r="CK63" s="193" t="s">
        <v>98</v>
      </c>
      <c r="CL63" s="194"/>
      <c r="CM63" s="194"/>
      <c r="CN63" s="194"/>
      <c r="CO63" s="195"/>
      <c r="CP63" s="3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</row>
    <row r="64" spans="1:143" s="4" customFormat="1" ht="11.45" customHeight="1" x14ac:dyDescent="0.2">
      <c r="A64" s="182">
        <v>2000</v>
      </c>
      <c r="B64" s="44"/>
      <c r="C64" s="5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57"/>
      <c r="Q64" s="5"/>
      <c r="R64" s="9"/>
      <c r="S64" s="9"/>
      <c r="T64" s="9"/>
      <c r="U64" s="9"/>
      <c r="V64" s="9"/>
      <c r="W64" s="9"/>
      <c r="X64" s="9"/>
      <c r="Y64" s="9"/>
      <c r="Z64" s="9"/>
      <c r="AA64" s="10"/>
      <c r="AB64" s="10"/>
      <c r="AC64" s="11"/>
      <c r="AD64" s="57"/>
      <c r="AE64" s="5"/>
      <c r="AF64" s="9"/>
      <c r="AG64" s="9"/>
      <c r="AH64" s="9"/>
      <c r="AI64" s="9"/>
      <c r="AJ64" s="9"/>
      <c r="AK64" s="9"/>
      <c r="AL64" s="9"/>
      <c r="AM64" s="10"/>
      <c r="AN64" s="10"/>
      <c r="AO64" s="10"/>
      <c r="AP64" s="10"/>
      <c r="AQ64" s="11"/>
      <c r="AR64" s="57"/>
      <c r="AS64" s="5"/>
      <c r="AT64" s="9"/>
      <c r="AU64" s="9"/>
      <c r="AV64" s="9"/>
      <c r="AW64" s="9"/>
      <c r="AX64" s="9"/>
      <c r="AY64" s="9"/>
      <c r="AZ64" s="10"/>
      <c r="BA64" s="10"/>
      <c r="BB64" s="10"/>
      <c r="BC64" s="10"/>
      <c r="BD64" s="10"/>
      <c r="BE64" s="11"/>
      <c r="BF64" s="57"/>
      <c r="BG64" s="5"/>
      <c r="BH64" s="9"/>
      <c r="BI64" s="9"/>
      <c r="BJ64" s="9"/>
      <c r="BK64" s="9"/>
      <c r="BL64" s="9"/>
      <c r="BM64" s="9"/>
      <c r="BN64" s="9"/>
      <c r="BO64" s="10"/>
      <c r="BP64" s="10"/>
      <c r="BQ64" s="10"/>
      <c r="BR64" s="10"/>
      <c r="BS64" s="11"/>
      <c r="BT64" s="57"/>
      <c r="BU64" s="25"/>
      <c r="BV64" s="6"/>
      <c r="BW64" s="6"/>
      <c r="BX64" s="6"/>
      <c r="BY64" s="6"/>
      <c r="BZ64" s="6"/>
      <c r="CA64" s="6"/>
      <c r="CB64" s="9"/>
      <c r="CC64" s="9"/>
      <c r="CD64" s="9"/>
      <c r="CE64" s="9"/>
      <c r="CF64" s="9"/>
      <c r="CG64" s="11"/>
      <c r="CH64" s="61"/>
      <c r="CI64" s="182">
        <v>2000</v>
      </c>
      <c r="CJ64" s="52"/>
      <c r="CK64" s="196"/>
      <c r="CL64" s="197"/>
      <c r="CM64" s="197"/>
      <c r="CN64" s="197"/>
      <c r="CO64" s="198"/>
      <c r="CP64" s="3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</row>
    <row r="65" spans="1:143" s="4" customFormat="1" ht="11.45" customHeight="1" x14ac:dyDescent="0.2">
      <c r="A65" s="182"/>
      <c r="B65" s="44"/>
      <c r="C65" s="12"/>
      <c r="D65" s="13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57"/>
      <c r="Q65" s="12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  <c r="AC65" s="15"/>
      <c r="AD65" s="57"/>
      <c r="AE65" s="12"/>
      <c r="AF65" s="13"/>
      <c r="AG65" s="13"/>
      <c r="AH65" s="13"/>
      <c r="AI65" s="13"/>
      <c r="AJ65" s="13"/>
      <c r="AK65" s="13"/>
      <c r="AL65" s="13"/>
      <c r="AM65" s="14"/>
      <c r="AN65" s="14"/>
      <c r="AO65" s="14"/>
      <c r="AP65" s="14"/>
      <c r="AQ65" s="15"/>
      <c r="AR65" s="57"/>
      <c r="AS65" s="12"/>
      <c r="AT65" s="13"/>
      <c r="AU65" s="13"/>
      <c r="AV65" s="13"/>
      <c r="AW65" s="13"/>
      <c r="AX65" s="13"/>
      <c r="AY65" s="13"/>
      <c r="AZ65" s="14"/>
      <c r="BA65" s="14"/>
      <c r="BB65" s="14"/>
      <c r="BC65" s="14"/>
      <c r="BD65" s="14"/>
      <c r="BE65" s="15"/>
      <c r="BF65" s="57"/>
      <c r="BG65" s="12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5"/>
      <c r="BT65" s="57"/>
      <c r="BU65" s="12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5"/>
      <c r="CH65" s="61"/>
      <c r="CI65" s="182"/>
      <c r="CJ65" s="52"/>
      <c r="CK65" s="193" t="s">
        <v>54</v>
      </c>
      <c r="CL65" s="194"/>
      <c r="CM65" s="194"/>
      <c r="CN65" s="194"/>
      <c r="CO65" s="195"/>
      <c r="CP65" s="3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</row>
    <row r="66" spans="1:143" s="4" customFormat="1" ht="11.45" customHeight="1" x14ac:dyDescent="0.2">
      <c r="A66" s="182"/>
      <c r="B66" s="44"/>
      <c r="C66" s="5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1"/>
      <c r="P66" s="57"/>
      <c r="Q66" s="5"/>
      <c r="R66" s="9"/>
      <c r="S66" s="9"/>
      <c r="T66" s="9"/>
      <c r="U66" s="9"/>
      <c r="V66" s="9"/>
      <c r="W66" s="9"/>
      <c r="X66" s="9"/>
      <c r="Y66" s="9"/>
      <c r="Z66" s="9"/>
      <c r="AA66" s="10"/>
      <c r="AB66" s="10"/>
      <c r="AC66" s="11"/>
      <c r="AD66" s="57"/>
      <c r="AE66" s="5"/>
      <c r="AF66" s="9"/>
      <c r="AG66" s="9"/>
      <c r="AH66" s="9"/>
      <c r="AI66" s="9"/>
      <c r="AJ66" s="9"/>
      <c r="AK66" s="9"/>
      <c r="AL66" s="9"/>
      <c r="AM66" s="10"/>
      <c r="AN66" s="10"/>
      <c r="AO66" s="10"/>
      <c r="AP66" s="10"/>
      <c r="AQ66" s="11"/>
      <c r="AR66" s="57"/>
      <c r="AS66" s="5"/>
      <c r="AT66" s="9"/>
      <c r="AU66" s="9"/>
      <c r="AV66" s="9"/>
      <c r="AW66" s="9"/>
      <c r="AX66" s="9"/>
      <c r="AY66" s="9"/>
      <c r="AZ66" s="10"/>
      <c r="BA66" s="10"/>
      <c r="BB66" s="10"/>
      <c r="BC66" s="10"/>
      <c r="BD66" s="10"/>
      <c r="BE66" s="11"/>
      <c r="BF66" s="57"/>
      <c r="BG66" s="5"/>
      <c r="BH66" s="9"/>
      <c r="BI66" s="9"/>
      <c r="BJ66" s="9"/>
      <c r="BK66" s="9"/>
      <c r="BL66" s="9"/>
      <c r="BM66" s="9"/>
      <c r="BN66" s="9"/>
      <c r="BO66" s="10"/>
      <c r="BP66" s="10"/>
      <c r="BQ66" s="10"/>
      <c r="BR66" s="10"/>
      <c r="BS66" s="11"/>
      <c r="BT66" s="57"/>
      <c r="BU66" s="25"/>
      <c r="BV66" s="6"/>
      <c r="BW66" s="6"/>
      <c r="BX66" s="6"/>
      <c r="BY66" s="6"/>
      <c r="BZ66" s="6"/>
      <c r="CA66" s="6"/>
      <c r="CB66" s="9"/>
      <c r="CC66" s="9"/>
      <c r="CD66" s="9"/>
      <c r="CE66" s="9"/>
      <c r="CF66" s="9"/>
      <c r="CG66" s="11"/>
      <c r="CH66" s="61"/>
      <c r="CI66" s="182"/>
      <c r="CJ66" s="52"/>
      <c r="CK66" s="196"/>
      <c r="CL66" s="197"/>
      <c r="CM66" s="197"/>
      <c r="CN66" s="197"/>
      <c r="CO66" s="198"/>
      <c r="CP66" s="3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</row>
    <row r="67" spans="1:143" s="4" customFormat="1" ht="11.45" customHeight="1" x14ac:dyDescent="0.2">
      <c r="A67" s="182"/>
      <c r="B67" s="44"/>
      <c r="C67" s="12"/>
      <c r="D67" s="13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57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  <c r="AC67" s="15"/>
      <c r="AD67" s="57"/>
      <c r="AE67" s="12"/>
      <c r="AF67" s="13"/>
      <c r="AG67" s="13"/>
      <c r="AH67" s="13"/>
      <c r="AI67" s="13"/>
      <c r="AJ67" s="13"/>
      <c r="AK67" s="13"/>
      <c r="AL67" s="13"/>
      <c r="AM67" s="14"/>
      <c r="AN67" s="14"/>
      <c r="AO67" s="14"/>
      <c r="AP67" s="14"/>
      <c r="AQ67" s="15"/>
      <c r="AR67" s="57"/>
      <c r="AS67" s="12"/>
      <c r="AT67" s="13"/>
      <c r="AU67" s="13"/>
      <c r="AV67" s="13"/>
      <c r="AW67" s="13"/>
      <c r="AX67" s="13"/>
      <c r="AY67" s="13"/>
      <c r="AZ67" s="14"/>
      <c r="BA67" s="14"/>
      <c r="BB67" s="14"/>
      <c r="BC67" s="14"/>
      <c r="BD67" s="14"/>
      <c r="BE67" s="15"/>
      <c r="BF67" s="57"/>
      <c r="BG67" s="12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5"/>
      <c r="BT67" s="57"/>
      <c r="BU67" s="12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5"/>
      <c r="CH67" s="61"/>
      <c r="CI67" s="182"/>
      <c r="CJ67" s="52"/>
      <c r="CK67" s="193" t="s">
        <v>105</v>
      </c>
      <c r="CL67" s="194"/>
      <c r="CM67" s="194"/>
      <c r="CN67" s="194"/>
      <c r="CO67" s="195"/>
      <c r="CP67" s="36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</row>
    <row r="68" spans="1:143" s="4" customFormat="1" ht="11.45" customHeight="1" x14ac:dyDescent="0.2">
      <c r="A68" s="182">
        <v>2100</v>
      </c>
      <c r="B68" s="44"/>
      <c r="C68" s="5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1"/>
      <c r="P68" s="57"/>
      <c r="Q68" s="5"/>
      <c r="R68" s="9"/>
      <c r="S68" s="9"/>
      <c r="T68" s="9"/>
      <c r="U68" s="9"/>
      <c r="V68" s="9"/>
      <c r="W68" s="9"/>
      <c r="X68" s="9"/>
      <c r="Y68" s="9"/>
      <c r="Z68" s="9"/>
      <c r="AA68" s="10"/>
      <c r="AB68" s="10"/>
      <c r="AC68" s="11"/>
      <c r="AD68" s="57"/>
      <c r="AE68" s="5"/>
      <c r="AF68" s="9"/>
      <c r="AG68" s="9"/>
      <c r="AH68" s="9"/>
      <c r="AI68" s="9"/>
      <c r="AJ68" s="9"/>
      <c r="AK68" s="9"/>
      <c r="AL68" s="9"/>
      <c r="AM68" s="10"/>
      <c r="AN68" s="10"/>
      <c r="AO68" s="10"/>
      <c r="AP68" s="10"/>
      <c r="AQ68" s="11"/>
      <c r="AR68" s="57"/>
      <c r="AS68" s="5"/>
      <c r="AT68" s="9"/>
      <c r="AU68" s="9"/>
      <c r="AV68" s="9"/>
      <c r="AW68" s="9"/>
      <c r="AX68" s="9"/>
      <c r="AY68" s="9"/>
      <c r="AZ68" s="10"/>
      <c r="BA68" s="10"/>
      <c r="BB68" s="10"/>
      <c r="BC68" s="10"/>
      <c r="BD68" s="10"/>
      <c r="BE68" s="11"/>
      <c r="BF68" s="57"/>
      <c r="BG68" s="5"/>
      <c r="BH68" s="9"/>
      <c r="BI68" s="9"/>
      <c r="BJ68" s="9"/>
      <c r="BK68" s="9"/>
      <c r="BL68" s="9"/>
      <c r="BM68" s="9"/>
      <c r="BN68" s="9"/>
      <c r="BO68" s="10"/>
      <c r="BP68" s="10"/>
      <c r="BQ68" s="10"/>
      <c r="BR68" s="10"/>
      <c r="BS68" s="11"/>
      <c r="BT68" s="57"/>
      <c r="BU68" s="25"/>
      <c r="BV68" s="6"/>
      <c r="BW68" s="6"/>
      <c r="BX68" s="6"/>
      <c r="BY68" s="6"/>
      <c r="BZ68" s="6"/>
      <c r="CA68" s="6"/>
      <c r="CB68" s="9"/>
      <c r="CC68" s="9"/>
      <c r="CD68" s="9"/>
      <c r="CE68" s="9"/>
      <c r="CF68" s="9"/>
      <c r="CG68" s="11"/>
      <c r="CH68" s="61"/>
      <c r="CI68" s="182">
        <v>2100</v>
      </c>
      <c r="CJ68" s="52"/>
      <c r="CK68" s="196"/>
      <c r="CL68" s="197"/>
      <c r="CM68" s="197"/>
      <c r="CN68" s="197"/>
      <c r="CO68" s="198"/>
      <c r="CP68" s="36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1:143" s="4" customFormat="1" ht="11.45" customHeight="1" x14ac:dyDescent="0.2">
      <c r="A69" s="182"/>
      <c r="B69" s="44"/>
      <c r="C69" s="12"/>
      <c r="D69" s="13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5"/>
      <c r="P69" s="57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  <c r="AC69" s="15"/>
      <c r="AD69" s="57"/>
      <c r="AE69" s="12"/>
      <c r="AF69" s="13"/>
      <c r="AG69" s="13"/>
      <c r="AH69" s="13"/>
      <c r="AI69" s="13"/>
      <c r="AJ69" s="13"/>
      <c r="AK69" s="13"/>
      <c r="AL69" s="13"/>
      <c r="AM69" s="14"/>
      <c r="AN69" s="14"/>
      <c r="AO69" s="14"/>
      <c r="AP69" s="14"/>
      <c r="AQ69" s="15"/>
      <c r="AR69" s="57"/>
      <c r="AS69" s="12"/>
      <c r="AT69" s="13"/>
      <c r="AU69" s="13"/>
      <c r="AV69" s="13"/>
      <c r="AW69" s="13"/>
      <c r="AX69" s="13"/>
      <c r="AY69" s="13"/>
      <c r="AZ69" s="14"/>
      <c r="BA69" s="14"/>
      <c r="BB69" s="14"/>
      <c r="BC69" s="14"/>
      <c r="BD69" s="14"/>
      <c r="BE69" s="15"/>
      <c r="BF69" s="57"/>
      <c r="BG69" s="12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5"/>
      <c r="BT69" s="57"/>
      <c r="BU69" s="12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5"/>
      <c r="CH69" s="61"/>
      <c r="CI69" s="182"/>
      <c r="CJ69" s="52"/>
      <c r="CK69" s="193" t="s">
        <v>57</v>
      </c>
      <c r="CL69" s="194"/>
      <c r="CM69" s="194"/>
      <c r="CN69" s="194"/>
      <c r="CO69" s="195"/>
      <c r="CP69" s="34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</row>
    <row r="70" spans="1:143" s="4" customFormat="1" ht="11.45" customHeight="1" x14ac:dyDescent="0.2">
      <c r="A70" s="182"/>
      <c r="B70" s="44"/>
      <c r="C70" s="5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1"/>
      <c r="P70" s="57"/>
      <c r="Q70" s="5"/>
      <c r="R70" s="9"/>
      <c r="S70" s="9"/>
      <c r="T70" s="9"/>
      <c r="U70" s="9"/>
      <c r="V70" s="9"/>
      <c r="W70" s="9"/>
      <c r="X70" s="9"/>
      <c r="Y70" s="9"/>
      <c r="Z70" s="9"/>
      <c r="AA70" s="10"/>
      <c r="AB70" s="10"/>
      <c r="AC70" s="11"/>
      <c r="AD70" s="57"/>
      <c r="AE70" s="5"/>
      <c r="AF70" s="9"/>
      <c r="AG70" s="9"/>
      <c r="AH70" s="9"/>
      <c r="AI70" s="9"/>
      <c r="AJ70" s="9"/>
      <c r="AK70" s="9"/>
      <c r="AL70" s="9"/>
      <c r="AM70" s="10"/>
      <c r="AN70" s="10"/>
      <c r="AO70" s="10"/>
      <c r="AP70" s="10"/>
      <c r="AQ70" s="11"/>
      <c r="AR70" s="57"/>
      <c r="AS70" s="5"/>
      <c r="AT70" s="9"/>
      <c r="AU70" s="9"/>
      <c r="AV70" s="9"/>
      <c r="AW70" s="9"/>
      <c r="AX70" s="9"/>
      <c r="AY70" s="9"/>
      <c r="AZ70" s="10"/>
      <c r="BA70" s="10"/>
      <c r="BB70" s="10"/>
      <c r="BC70" s="10"/>
      <c r="BD70" s="10"/>
      <c r="BE70" s="11"/>
      <c r="BF70" s="57"/>
      <c r="BG70" s="5"/>
      <c r="BH70" s="9"/>
      <c r="BI70" s="9"/>
      <c r="BJ70" s="9"/>
      <c r="BK70" s="9"/>
      <c r="BL70" s="9"/>
      <c r="BM70" s="9"/>
      <c r="BN70" s="9"/>
      <c r="BO70" s="10"/>
      <c r="BP70" s="10"/>
      <c r="BQ70" s="10"/>
      <c r="BR70" s="10"/>
      <c r="BS70" s="11"/>
      <c r="BT70" s="57"/>
      <c r="BU70" s="25"/>
      <c r="BV70" s="6"/>
      <c r="BW70" s="6"/>
      <c r="BX70" s="6"/>
      <c r="BY70" s="6"/>
      <c r="BZ70" s="6"/>
      <c r="CA70" s="6"/>
      <c r="CB70" s="9"/>
      <c r="CC70" s="9"/>
      <c r="CD70" s="9"/>
      <c r="CE70" s="9"/>
      <c r="CF70" s="9"/>
      <c r="CG70" s="11"/>
      <c r="CH70" s="61"/>
      <c r="CI70" s="182"/>
      <c r="CJ70" s="52"/>
      <c r="CK70" s="196"/>
      <c r="CL70" s="197"/>
      <c r="CM70" s="197"/>
      <c r="CN70" s="197"/>
      <c r="CO70" s="198"/>
      <c r="CP70" s="34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</row>
    <row r="71" spans="1:143" s="4" customFormat="1" ht="11.45" customHeight="1" x14ac:dyDescent="0.2">
      <c r="A71" s="182"/>
      <c r="B71" s="44"/>
      <c r="C71" s="12"/>
      <c r="D71" s="13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57"/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  <c r="AC71" s="15"/>
      <c r="AD71" s="57"/>
      <c r="AE71" s="12"/>
      <c r="AF71" s="13"/>
      <c r="AG71" s="13"/>
      <c r="AH71" s="13"/>
      <c r="AI71" s="13"/>
      <c r="AJ71" s="13"/>
      <c r="AK71" s="13"/>
      <c r="AL71" s="13"/>
      <c r="AM71" s="14"/>
      <c r="AN71" s="14"/>
      <c r="AO71" s="14"/>
      <c r="AP71" s="14"/>
      <c r="AQ71" s="15"/>
      <c r="AR71" s="57"/>
      <c r="AS71" s="12"/>
      <c r="AT71" s="13"/>
      <c r="AU71" s="13"/>
      <c r="AV71" s="13"/>
      <c r="AW71" s="13"/>
      <c r="AX71" s="13"/>
      <c r="AY71" s="13"/>
      <c r="AZ71" s="14"/>
      <c r="BA71" s="14"/>
      <c r="BB71" s="14"/>
      <c r="BC71" s="14"/>
      <c r="BD71" s="14"/>
      <c r="BE71" s="15"/>
      <c r="BF71" s="57"/>
      <c r="BG71" s="12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5"/>
      <c r="BT71" s="57"/>
      <c r="BU71" s="12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5"/>
      <c r="CH71" s="61"/>
      <c r="CI71" s="182"/>
      <c r="CJ71" s="52"/>
      <c r="CK71" s="193" t="s">
        <v>79</v>
      </c>
      <c r="CL71" s="194"/>
      <c r="CM71" s="194"/>
      <c r="CN71" s="194"/>
      <c r="CO71" s="195"/>
      <c r="CP71" s="34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</row>
    <row r="72" spans="1:143" s="4" customFormat="1" ht="11.45" customHeight="1" x14ac:dyDescent="0.2">
      <c r="A72" s="182">
        <v>2200</v>
      </c>
      <c r="B72" s="44"/>
      <c r="C72" s="5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1"/>
      <c r="P72" s="57"/>
      <c r="Q72" s="5"/>
      <c r="R72" s="9"/>
      <c r="S72" s="9"/>
      <c r="T72" s="9"/>
      <c r="U72" s="9"/>
      <c r="V72" s="9"/>
      <c r="W72" s="9"/>
      <c r="X72" s="9"/>
      <c r="Y72" s="9"/>
      <c r="Z72" s="9"/>
      <c r="AA72" s="10"/>
      <c r="AB72" s="10"/>
      <c r="AC72" s="11"/>
      <c r="AD72" s="57"/>
      <c r="AE72" s="5"/>
      <c r="AF72" s="9"/>
      <c r="AG72" s="9"/>
      <c r="AH72" s="9"/>
      <c r="AI72" s="9"/>
      <c r="AJ72" s="9"/>
      <c r="AK72" s="9"/>
      <c r="AL72" s="9"/>
      <c r="AM72" s="10"/>
      <c r="AN72" s="10"/>
      <c r="AO72" s="10"/>
      <c r="AP72" s="10"/>
      <c r="AQ72" s="11"/>
      <c r="AR72" s="57"/>
      <c r="AS72" s="5"/>
      <c r="AT72" s="9"/>
      <c r="AU72" s="9"/>
      <c r="AV72" s="9"/>
      <c r="AW72" s="9"/>
      <c r="AX72" s="9"/>
      <c r="AY72" s="9"/>
      <c r="AZ72" s="10"/>
      <c r="BA72" s="10"/>
      <c r="BB72" s="10"/>
      <c r="BC72" s="10"/>
      <c r="BD72" s="10"/>
      <c r="BE72" s="11"/>
      <c r="BF72" s="57"/>
      <c r="BG72" s="5"/>
      <c r="BH72" s="9"/>
      <c r="BI72" s="9"/>
      <c r="BJ72" s="9"/>
      <c r="BK72" s="9"/>
      <c r="BL72" s="9"/>
      <c r="BM72" s="9"/>
      <c r="BN72" s="9"/>
      <c r="BO72" s="10"/>
      <c r="BP72" s="10"/>
      <c r="BQ72" s="10"/>
      <c r="BR72" s="10"/>
      <c r="BS72" s="11"/>
      <c r="BT72" s="57"/>
      <c r="BU72" s="25"/>
      <c r="BV72" s="6"/>
      <c r="BW72" s="6"/>
      <c r="BX72" s="6"/>
      <c r="BY72" s="6"/>
      <c r="BZ72" s="6"/>
      <c r="CA72" s="6"/>
      <c r="CB72" s="9"/>
      <c r="CC72" s="9"/>
      <c r="CD72" s="9"/>
      <c r="CE72" s="9"/>
      <c r="CF72" s="9"/>
      <c r="CG72" s="11"/>
      <c r="CH72" s="61"/>
      <c r="CI72" s="182">
        <v>2200</v>
      </c>
      <c r="CJ72" s="52"/>
      <c r="CK72" s="196"/>
      <c r="CL72" s="197"/>
      <c r="CM72" s="197"/>
      <c r="CN72" s="197"/>
      <c r="CO72" s="198"/>
      <c r="CP72" s="34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1:143" s="4" customFormat="1" ht="11.45" customHeight="1" x14ac:dyDescent="0.2">
      <c r="A73" s="182"/>
      <c r="B73" s="44"/>
      <c r="C73" s="12"/>
      <c r="D73" s="13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57"/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  <c r="AC73" s="15"/>
      <c r="AD73" s="57"/>
      <c r="AE73" s="12"/>
      <c r="AF73" s="13"/>
      <c r="AG73" s="13"/>
      <c r="AH73" s="13"/>
      <c r="AI73" s="13"/>
      <c r="AJ73" s="13"/>
      <c r="AK73" s="13"/>
      <c r="AL73" s="13"/>
      <c r="AM73" s="14"/>
      <c r="AN73" s="14"/>
      <c r="AO73" s="14"/>
      <c r="AP73" s="14"/>
      <c r="AQ73" s="15"/>
      <c r="AR73" s="57"/>
      <c r="AS73" s="12"/>
      <c r="AT73" s="13"/>
      <c r="AU73" s="13"/>
      <c r="AV73" s="13"/>
      <c r="AW73" s="13"/>
      <c r="AX73" s="13"/>
      <c r="AY73" s="13"/>
      <c r="AZ73" s="14"/>
      <c r="BA73" s="14"/>
      <c r="BB73" s="14"/>
      <c r="BC73" s="14"/>
      <c r="BD73" s="14"/>
      <c r="BE73" s="15"/>
      <c r="BF73" s="57"/>
      <c r="BG73" s="12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5"/>
      <c r="BT73" s="57"/>
      <c r="BU73" s="12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5"/>
      <c r="CH73" s="61"/>
      <c r="CI73" s="182"/>
      <c r="CJ73" s="52"/>
      <c r="CK73" s="193" t="s">
        <v>113</v>
      </c>
      <c r="CL73" s="194"/>
      <c r="CM73" s="194"/>
      <c r="CN73" s="194"/>
      <c r="CO73" s="195"/>
      <c r="CP73" s="35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</row>
    <row r="74" spans="1:143" s="4" customFormat="1" ht="11.45" customHeight="1" x14ac:dyDescent="0.2">
      <c r="A74" s="182"/>
      <c r="B74" s="44"/>
      <c r="C74" s="5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1"/>
      <c r="P74" s="57"/>
      <c r="Q74" s="5"/>
      <c r="R74" s="9"/>
      <c r="S74" s="9"/>
      <c r="T74" s="9"/>
      <c r="U74" s="9"/>
      <c r="V74" s="9"/>
      <c r="W74" s="9"/>
      <c r="X74" s="9"/>
      <c r="Y74" s="9"/>
      <c r="Z74" s="9"/>
      <c r="AA74" s="10"/>
      <c r="AB74" s="10"/>
      <c r="AC74" s="11"/>
      <c r="AD74" s="57"/>
      <c r="AE74" s="5"/>
      <c r="AF74" s="9"/>
      <c r="AG74" s="9"/>
      <c r="AH74" s="9"/>
      <c r="AI74" s="9"/>
      <c r="AJ74" s="9"/>
      <c r="AK74" s="9"/>
      <c r="AL74" s="9"/>
      <c r="AM74" s="10"/>
      <c r="AN74" s="10"/>
      <c r="AO74" s="10"/>
      <c r="AP74" s="10"/>
      <c r="AQ74" s="11"/>
      <c r="AR74" s="57"/>
      <c r="AS74" s="5"/>
      <c r="AT74" s="9"/>
      <c r="AU74" s="9"/>
      <c r="AV74" s="9"/>
      <c r="AW74" s="9"/>
      <c r="AX74" s="9"/>
      <c r="AY74" s="9"/>
      <c r="AZ74" s="10"/>
      <c r="BA74" s="10"/>
      <c r="BB74" s="10"/>
      <c r="BC74" s="10"/>
      <c r="BD74" s="10"/>
      <c r="BE74" s="11"/>
      <c r="BF74" s="57"/>
      <c r="BG74" s="5"/>
      <c r="BH74" s="9"/>
      <c r="BI74" s="9"/>
      <c r="BJ74" s="9"/>
      <c r="BK74" s="9"/>
      <c r="BL74" s="9"/>
      <c r="BM74" s="9"/>
      <c r="BN74" s="9"/>
      <c r="BO74" s="10"/>
      <c r="BP74" s="10"/>
      <c r="BQ74" s="10"/>
      <c r="BR74" s="10"/>
      <c r="BS74" s="11"/>
      <c r="BT74" s="57"/>
      <c r="BU74" s="25"/>
      <c r="BV74" s="6"/>
      <c r="BW74" s="6"/>
      <c r="BX74" s="6"/>
      <c r="BY74" s="6"/>
      <c r="BZ74" s="6"/>
      <c r="CA74" s="6"/>
      <c r="CB74" s="9"/>
      <c r="CC74" s="9"/>
      <c r="CD74" s="9"/>
      <c r="CE74" s="9"/>
      <c r="CF74" s="9"/>
      <c r="CG74" s="11"/>
      <c r="CH74" s="61"/>
      <c r="CI74" s="182"/>
      <c r="CJ74" s="52"/>
      <c r="CK74" s="196"/>
      <c r="CL74" s="197"/>
      <c r="CM74" s="197"/>
      <c r="CN74" s="197"/>
      <c r="CO74" s="198"/>
      <c r="CP74" s="35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</row>
    <row r="75" spans="1:143" s="4" customFormat="1" ht="11.45" customHeight="1" x14ac:dyDescent="0.2">
      <c r="A75" s="182"/>
      <c r="B75" s="44"/>
      <c r="C75" s="12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57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  <c r="AC75" s="15"/>
      <c r="AD75" s="57"/>
      <c r="AE75" s="12"/>
      <c r="AF75" s="13"/>
      <c r="AG75" s="13"/>
      <c r="AH75" s="13"/>
      <c r="AI75" s="13"/>
      <c r="AJ75" s="13"/>
      <c r="AK75" s="13"/>
      <c r="AL75" s="13"/>
      <c r="AM75" s="14"/>
      <c r="AN75" s="14"/>
      <c r="AO75" s="14"/>
      <c r="AP75" s="14"/>
      <c r="AQ75" s="15"/>
      <c r="AR75" s="57"/>
      <c r="AS75" s="12"/>
      <c r="AT75" s="13"/>
      <c r="AU75" s="13"/>
      <c r="AV75" s="13"/>
      <c r="AW75" s="13"/>
      <c r="AX75" s="13"/>
      <c r="AY75" s="13"/>
      <c r="AZ75" s="14"/>
      <c r="BA75" s="14"/>
      <c r="BB75" s="14"/>
      <c r="BC75" s="14"/>
      <c r="BD75" s="14"/>
      <c r="BE75" s="15"/>
      <c r="BF75" s="57"/>
      <c r="BG75" s="12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5"/>
      <c r="BT75" s="57"/>
      <c r="BU75" s="12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5"/>
      <c r="CH75" s="61"/>
      <c r="CI75" s="182"/>
      <c r="CJ75" s="52"/>
      <c r="CK75" s="193" t="s">
        <v>114</v>
      </c>
      <c r="CL75" s="194"/>
      <c r="CM75" s="194"/>
      <c r="CN75" s="194"/>
      <c r="CO75" s="195"/>
      <c r="CP75" s="34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</row>
    <row r="76" spans="1:143" s="4" customFormat="1" ht="11.45" customHeight="1" x14ac:dyDescent="0.2">
      <c r="A76" s="182">
        <v>2300</v>
      </c>
      <c r="B76" s="44"/>
      <c r="C76" s="5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1"/>
      <c r="P76" s="57"/>
      <c r="Q76" s="5"/>
      <c r="R76" s="9"/>
      <c r="S76" s="9"/>
      <c r="T76" s="9"/>
      <c r="U76" s="9"/>
      <c r="V76" s="9"/>
      <c r="W76" s="9"/>
      <c r="X76" s="10"/>
      <c r="Y76" s="10"/>
      <c r="Z76" s="10"/>
      <c r="AA76" s="10"/>
      <c r="AB76" s="10"/>
      <c r="AC76" s="11"/>
      <c r="AD76" s="57"/>
      <c r="AE76" s="5"/>
      <c r="AF76" s="9"/>
      <c r="AG76" s="9"/>
      <c r="AH76" s="9"/>
      <c r="AI76" s="9"/>
      <c r="AJ76" s="9"/>
      <c r="AK76" s="9"/>
      <c r="AL76" s="9"/>
      <c r="AM76" s="10"/>
      <c r="AN76" s="10"/>
      <c r="AO76" s="10"/>
      <c r="AP76" s="10"/>
      <c r="AQ76" s="11"/>
      <c r="AR76" s="57"/>
      <c r="AS76" s="5"/>
      <c r="AT76" s="9"/>
      <c r="AU76" s="9"/>
      <c r="AV76" s="9"/>
      <c r="AW76" s="9"/>
      <c r="AX76" s="9"/>
      <c r="AY76" s="9"/>
      <c r="AZ76" s="10"/>
      <c r="BA76" s="10"/>
      <c r="BB76" s="10"/>
      <c r="BC76" s="10"/>
      <c r="BD76" s="10"/>
      <c r="BE76" s="11"/>
      <c r="BF76" s="57"/>
      <c r="BG76" s="5"/>
      <c r="BH76" s="9"/>
      <c r="BI76" s="9"/>
      <c r="BJ76" s="9"/>
      <c r="BK76" s="9"/>
      <c r="BL76" s="9"/>
      <c r="BM76" s="9"/>
      <c r="BN76" s="9"/>
      <c r="BO76" s="10"/>
      <c r="BP76" s="10"/>
      <c r="BQ76" s="10"/>
      <c r="BR76" s="10"/>
      <c r="BS76" s="11"/>
      <c r="BT76" s="57"/>
      <c r="BU76" s="25"/>
      <c r="BV76" s="6"/>
      <c r="BW76" s="6"/>
      <c r="BX76" s="6"/>
      <c r="BY76" s="6"/>
      <c r="BZ76" s="6"/>
      <c r="CA76" s="6"/>
      <c r="CB76" s="9"/>
      <c r="CC76" s="9"/>
      <c r="CD76" s="9"/>
      <c r="CE76" s="9"/>
      <c r="CF76" s="9"/>
      <c r="CG76" s="11"/>
      <c r="CH76" s="61"/>
      <c r="CI76" s="182">
        <v>2300</v>
      </c>
      <c r="CJ76" s="52"/>
      <c r="CK76" s="196"/>
      <c r="CL76" s="197"/>
      <c r="CM76" s="197"/>
      <c r="CN76" s="197"/>
      <c r="CO76" s="198"/>
      <c r="CP76" s="34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</row>
    <row r="77" spans="1:143" s="4" customFormat="1" ht="11.45" customHeight="1" x14ac:dyDescent="0.2">
      <c r="A77" s="182"/>
      <c r="B77" s="44"/>
      <c r="C77" s="12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57"/>
      <c r="Q77" s="12"/>
      <c r="R77" s="13"/>
      <c r="S77" s="13"/>
      <c r="T77" s="13"/>
      <c r="U77" s="13"/>
      <c r="V77" s="13"/>
      <c r="W77" s="13"/>
      <c r="X77" s="14"/>
      <c r="Y77" s="14"/>
      <c r="Z77" s="14"/>
      <c r="AA77" s="14"/>
      <c r="AB77" s="14"/>
      <c r="AC77" s="15"/>
      <c r="AD77" s="57"/>
      <c r="AE77" s="12"/>
      <c r="AF77" s="13"/>
      <c r="AG77" s="13"/>
      <c r="AH77" s="13"/>
      <c r="AI77" s="13"/>
      <c r="AJ77" s="13"/>
      <c r="AK77" s="13"/>
      <c r="AL77" s="13"/>
      <c r="AM77" s="14"/>
      <c r="AN77" s="14"/>
      <c r="AO77" s="14"/>
      <c r="AP77" s="14"/>
      <c r="AQ77" s="15"/>
      <c r="AR77" s="57"/>
      <c r="AS77" s="12"/>
      <c r="AT77" s="13"/>
      <c r="AU77" s="13"/>
      <c r="AV77" s="13"/>
      <c r="AW77" s="13"/>
      <c r="AX77" s="13"/>
      <c r="AY77" s="13"/>
      <c r="AZ77" s="14"/>
      <c r="BA77" s="14"/>
      <c r="BB77" s="14"/>
      <c r="BC77" s="14"/>
      <c r="BD77" s="14"/>
      <c r="BE77" s="15"/>
      <c r="BF77" s="57"/>
      <c r="BG77" s="12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5"/>
      <c r="BT77" s="57"/>
      <c r="BU77" s="12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5"/>
      <c r="CH77" s="61"/>
      <c r="CI77" s="182"/>
      <c r="CJ77" s="52"/>
      <c r="CK77" s="176" t="s">
        <v>129</v>
      </c>
      <c r="CL77" s="177"/>
      <c r="CM77" s="177"/>
      <c r="CN77" s="177"/>
      <c r="CO77" s="178"/>
      <c r="CP77" s="34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</row>
    <row r="78" spans="1:143" s="4" customFormat="1" ht="11.45" customHeight="1" x14ac:dyDescent="0.2">
      <c r="A78" s="182"/>
      <c r="B78" s="44"/>
      <c r="C78" s="5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1"/>
      <c r="P78" s="57"/>
      <c r="Q78" s="5"/>
      <c r="R78" s="9"/>
      <c r="S78" s="9"/>
      <c r="T78" s="9"/>
      <c r="U78" s="9"/>
      <c r="V78" s="9"/>
      <c r="W78" s="9"/>
      <c r="X78" s="10"/>
      <c r="Y78" s="10"/>
      <c r="Z78" s="10"/>
      <c r="AA78" s="10"/>
      <c r="AB78" s="10"/>
      <c r="AC78" s="11"/>
      <c r="AD78" s="57"/>
      <c r="AE78" s="5"/>
      <c r="AF78" s="9"/>
      <c r="AG78" s="9"/>
      <c r="AH78" s="9"/>
      <c r="AI78" s="9"/>
      <c r="AJ78" s="9"/>
      <c r="AK78" s="9"/>
      <c r="AL78" s="9"/>
      <c r="AM78" s="10"/>
      <c r="AN78" s="10"/>
      <c r="AO78" s="10"/>
      <c r="AP78" s="10"/>
      <c r="AQ78" s="11"/>
      <c r="AR78" s="57"/>
      <c r="AS78" s="5"/>
      <c r="AT78" s="9"/>
      <c r="AU78" s="9"/>
      <c r="AV78" s="9"/>
      <c r="AW78" s="9"/>
      <c r="AX78" s="9"/>
      <c r="AY78" s="9"/>
      <c r="AZ78" s="10"/>
      <c r="BA78" s="10"/>
      <c r="BB78" s="10"/>
      <c r="BC78" s="10"/>
      <c r="BD78" s="10"/>
      <c r="BE78" s="11"/>
      <c r="BF78" s="57"/>
      <c r="BG78" s="5"/>
      <c r="BH78" s="9"/>
      <c r="BI78" s="9"/>
      <c r="BJ78" s="9"/>
      <c r="BK78" s="9"/>
      <c r="BL78" s="9"/>
      <c r="BM78" s="9"/>
      <c r="BN78" s="9"/>
      <c r="BO78" s="10"/>
      <c r="BP78" s="10"/>
      <c r="BQ78" s="10"/>
      <c r="BR78" s="10"/>
      <c r="BS78" s="11"/>
      <c r="BT78" s="57"/>
      <c r="BU78" s="25"/>
      <c r="BV78" s="6"/>
      <c r="BW78" s="6"/>
      <c r="BX78" s="6"/>
      <c r="BY78" s="6"/>
      <c r="BZ78" s="6"/>
      <c r="CA78" s="6"/>
      <c r="CB78" s="9"/>
      <c r="CC78" s="9"/>
      <c r="CD78" s="9"/>
      <c r="CE78" s="9"/>
      <c r="CF78" s="9"/>
      <c r="CG78" s="11"/>
      <c r="CH78" s="61"/>
      <c r="CI78" s="182"/>
      <c r="CJ78" s="52"/>
      <c r="CK78" s="179"/>
      <c r="CL78" s="180"/>
      <c r="CM78" s="180"/>
      <c r="CN78" s="180"/>
      <c r="CO78" s="181"/>
      <c r="CP78" s="34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</row>
    <row r="79" spans="1:143" s="4" customFormat="1" ht="11.45" customHeight="1" x14ac:dyDescent="0.2">
      <c r="A79" s="182"/>
      <c r="B79" s="44"/>
      <c r="C79" s="12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5"/>
      <c r="P79" s="57"/>
      <c r="Q79" s="12"/>
      <c r="R79" s="13"/>
      <c r="S79" s="13"/>
      <c r="T79" s="13"/>
      <c r="U79" s="13"/>
      <c r="V79" s="13"/>
      <c r="W79" s="13"/>
      <c r="X79" s="14"/>
      <c r="Y79" s="14"/>
      <c r="Z79" s="14"/>
      <c r="AA79" s="14"/>
      <c r="AB79" s="14"/>
      <c r="AC79" s="15"/>
      <c r="AD79" s="57"/>
      <c r="AE79" s="12"/>
      <c r="AF79" s="13"/>
      <c r="AG79" s="13"/>
      <c r="AH79" s="13"/>
      <c r="AI79" s="13"/>
      <c r="AJ79" s="13"/>
      <c r="AK79" s="13"/>
      <c r="AL79" s="13"/>
      <c r="AM79" s="14"/>
      <c r="AN79" s="14"/>
      <c r="AO79" s="14"/>
      <c r="AP79" s="14"/>
      <c r="AQ79" s="15"/>
      <c r="AR79" s="57"/>
      <c r="AS79" s="12"/>
      <c r="AT79" s="13"/>
      <c r="AU79" s="13"/>
      <c r="AV79" s="13"/>
      <c r="AW79" s="13"/>
      <c r="AX79" s="13"/>
      <c r="AY79" s="13"/>
      <c r="AZ79" s="14"/>
      <c r="BA79" s="14"/>
      <c r="BB79" s="14"/>
      <c r="BC79" s="14"/>
      <c r="BD79" s="14"/>
      <c r="BE79" s="15"/>
      <c r="BF79" s="57"/>
      <c r="BG79" s="12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5"/>
      <c r="BT79" s="57"/>
      <c r="BU79" s="12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5"/>
      <c r="CH79" s="61"/>
      <c r="CI79" s="182"/>
      <c r="CJ79" s="52"/>
      <c r="CK79" s="131" t="s">
        <v>149</v>
      </c>
      <c r="CL79" s="132"/>
      <c r="CM79" s="132"/>
      <c r="CN79" s="132"/>
      <c r="CO79" s="13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</row>
    <row r="80" spans="1:143" s="4" customFormat="1" ht="11.45" customHeight="1" x14ac:dyDescent="0.2">
      <c r="A80" s="182">
        <v>2400</v>
      </c>
      <c r="B80" s="44"/>
      <c r="C80" s="5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1"/>
      <c r="P80" s="57"/>
      <c r="Q80" s="5"/>
      <c r="R80" s="9"/>
      <c r="S80" s="9"/>
      <c r="T80" s="9"/>
      <c r="U80" s="9"/>
      <c r="V80" s="9"/>
      <c r="W80" s="9"/>
      <c r="X80" s="10"/>
      <c r="Y80" s="10"/>
      <c r="Z80" s="10"/>
      <c r="AA80" s="10"/>
      <c r="AB80" s="10"/>
      <c r="AC80" s="11"/>
      <c r="AD80" s="57"/>
      <c r="AE80" s="5"/>
      <c r="AF80" s="9"/>
      <c r="AG80" s="9"/>
      <c r="AH80" s="9"/>
      <c r="AI80" s="9"/>
      <c r="AJ80" s="9"/>
      <c r="AK80" s="9"/>
      <c r="AL80" s="9"/>
      <c r="AM80" s="10"/>
      <c r="AN80" s="10"/>
      <c r="AO80" s="10"/>
      <c r="AP80" s="10"/>
      <c r="AQ80" s="11"/>
      <c r="AR80" s="57"/>
      <c r="AS80" s="5"/>
      <c r="AT80" s="9"/>
      <c r="AU80" s="9"/>
      <c r="AV80" s="9"/>
      <c r="AW80" s="9"/>
      <c r="AX80" s="9"/>
      <c r="AY80" s="9"/>
      <c r="AZ80" s="10"/>
      <c r="BA80" s="10"/>
      <c r="BB80" s="10"/>
      <c r="BC80" s="10"/>
      <c r="BD80" s="10"/>
      <c r="BE80" s="11"/>
      <c r="BF80" s="57"/>
      <c r="BG80" s="5"/>
      <c r="BH80" s="9"/>
      <c r="BI80" s="9"/>
      <c r="BJ80" s="9"/>
      <c r="BK80" s="9"/>
      <c r="BL80" s="9"/>
      <c r="BM80" s="9"/>
      <c r="BN80" s="9"/>
      <c r="BO80" s="10"/>
      <c r="BP80" s="10"/>
      <c r="BQ80" s="10"/>
      <c r="BR80" s="10"/>
      <c r="BS80" s="11"/>
      <c r="BT80" s="57"/>
      <c r="BU80" s="25"/>
      <c r="BV80" s="6"/>
      <c r="BW80" s="6"/>
      <c r="BX80" s="6"/>
      <c r="BY80" s="6"/>
      <c r="BZ80" s="6"/>
      <c r="CA80" s="6"/>
      <c r="CB80" s="9"/>
      <c r="CC80" s="9"/>
      <c r="CD80" s="9"/>
      <c r="CE80" s="9"/>
      <c r="CF80" s="9"/>
      <c r="CG80" s="11"/>
      <c r="CH80" s="61"/>
      <c r="CI80" s="182">
        <v>2400</v>
      </c>
      <c r="CJ80" s="52"/>
      <c r="CK80" s="134"/>
      <c r="CL80" s="135"/>
      <c r="CM80" s="135"/>
      <c r="CN80" s="135"/>
      <c r="CO80" s="136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</row>
    <row r="81" spans="1:143" s="4" customFormat="1" ht="11.45" customHeight="1" x14ac:dyDescent="0.2">
      <c r="A81" s="182"/>
      <c r="B81" s="44"/>
      <c r="C81" s="12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5"/>
      <c r="P81" s="57"/>
      <c r="Q81" s="12"/>
      <c r="R81" s="13"/>
      <c r="S81" s="13"/>
      <c r="T81" s="13"/>
      <c r="U81" s="13"/>
      <c r="V81" s="13"/>
      <c r="W81" s="13"/>
      <c r="X81" s="14"/>
      <c r="Y81" s="14"/>
      <c r="Z81" s="14"/>
      <c r="AA81" s="14"/>
      <c r="AB81" s="14"/>
      <c r="AC81" s="15"/>
      <c r="AD81" s="57"/>
      <c r="AE81" s="12"/>
      <c r="AF81" s="13"/>
      <c r="AG81" s="13"/>
      <c r="AH81" s="13"/>
      <c r="AI81" s="13"/>
      <c r="AJ81" s="13"/>
      <c r="AK81" s="13"/>
      <c r="AL81" s="13"/>
      <c r="AM81" s="14"/>
      <c r="AN81" s="14"/>
      <c r="AO81" s="14"/>
      <c r="AP81" s="14"/>
      <c r="AQ81" s="15"/>
      <c r="AR81" s="57"/>
      <c r="AS81" s="12"/>
      <c r="AT81" s="13"/>
      <c r="AU81" s="13"/>
      <c r="AV81" s="13"/>
      <c r="AW81" s="13"/>
      <c r="AX81" s="13"/>
      <c r="AY81" s="13"/>
      <c r="AZ81" s="14"/>
      <c r="BA81" s="14"/>
      <c r="BB81" s="14"/>
      <c r="BC81" s="14"/>
      <c r="BD81" s="14"/>
      <c r="BE81" s="15"/>
      <c r="BF81" s="57"/>
      <c r="BG81" s="12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5"/>
      <c r="BT81" s="57"/>
      <c r="BU81" s="12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5"/>
      <c r="CH81" s="61"/>
      <c r="CI81" s="182"/>
      <c r="CJ81" s="52"/>
      <c r="CK81" s="134"/>
      <c r="CL81" s="135"/>
      <c r="CM81" s="135"/>
      <c r="CN81" s="135"/>
      <c r="CO81" s="136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</row>
    <row r="82" spans="1:143" s="4" customFormat="1" ht="11.45" customHeight="1" x14ac:dyDescent="0.2">
      <c r="A82" s="182"/>
      <c r="B82" s="44"/>
      <c r="C82" s="5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1"/>
      <c r="P82" s="57"/>
      <c r="Q82" s="5"/>
      <c r="R82" s="9"/>
      <c r="S82" s="9"/>
      <c r="T82" s="9"/>
      <c r="U82" s="9"/>
      <c r="V82" s="9"/>
      <c r="W82" s="9"/>
      <c r="X82" s="10"/>
      <c r="Y82" s="10"/>
      <c r="Z82" s="10"/>
      <c r="AA82" s="10"/>
      <c r="AB82" s="10"/>
      <c r="AC82" s="11"/>
      <c r="AD82" s="57"/>
      <c r="AE82" s="5"/>
      <c r="AF82" s="9"/>
      <c r="AG82" s="9"/>
      <c r="AH82" s="9"/>
      <c r="AI82" s="9"/>
      <c r="AJ82" s="9"/>
      <c r="AK82" s="9"/>
      <c r="AL82" s="9"/>
      <c r="AM82" s="10"/>
      <c r="AN82" s="10"/>
      <c r="AO82" s="10"/>
      <c r="AP82" s="10"/>
      <c r="AQ82" s="11"/>
      <c r="AR82" s="57"/>
      <c r="AS82" s="5"/>
      <c r="AT82" s="9"/>
      <c r="AU82" s="9"/>
      <c r="AV82" s="9"/>
      <c r="AW82" s="9"/>
      <c r="AX82" s="9"/>
      <c r="AY82" s="9"/>
      <c r="AZ82" s="10"/>
      <c r="BA82" s="10"/>
      <c r="BB82" s="10"/>
      <c r="BC82" s="10"/>
      <c r="BD82" s="10"/>
      <c r="BE82" s="11"/>
      <c r="BF82" s="57"/>
      <c r="BG82" s="5"/>
      <c r="BH82" s="9"/>
      <c r="BI82" s="9"/>
      <c r="BJ82" s="9"/>
      <c r="BK82" s="9"/>
      <c r="BL82" s="9"/>
      <c r="BM82" s="9"/>
      <c r="BN82" s="9"/>
      <c r="BO82" s="10"/>
      <c r="BP82" s="10"/>
      <c r="BQ82" s="10"/>
      <c r="BR82" s="10"/>
      <c r="BS82" s="11"/>
      <c r="BT82" s="57"/>
      <c r="BU82" s="25"/>
      <c r="BV82" s="6"/>
      <c r="BW82" s="6"/>
      <c r="BX82" s="6"/>
      <c r="BY82" s="6"/>
      <c r="BZ82" s="6"/>
      <c r="CA82" s="6"/>
      <c r="CB82" s="9"/>
      <c r="CC82" s="9"/>
      <c r="CD82" s="9"/>
      <c r="CE82" s="9"/>
      <c r="CF82" s="9"/>
      <c r="CG82" s="11"/>
      <c r="CH82" s="61"/>
      <c r="CI82" s="182"/>
      <c r="CJ82" s="52"/>
      <c r="CK82" s="134"/>
      <c r="CL82" s="135"/>
      <c r="CM82" s="135"/>
      <c r="CN82" s="135"/>
      <c r="CO82" s="136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</row>
    <row r="83" spans="1:143" s="4" customFormat="1" ht="11.45" customHeight="1" x14ac:dyDescent="0.2">
      <c r="A83" s="183"/>
      <c r="B83" s="51"/>
      <c r="C83" s="28"/>
      <c r="D83" s="29"/>
      <c r="E83" s="29"/>
      <c r="F83" s="30"/>
      <c r="G83" s="30"/>
      <c r="H83" s="30"/>
      <c r="I83" s="30"/>
      <c r="J83" s="30"/>
      <c r="K83" s="30"/>
      <c r="L83" s="30"/>
      <c r="M83" s="30"/>
      <c r="N83" s="14"/>
      <c r="O83" s="15"/>
      <c r="P83" s="57"/>
      <c r="Q83" s="12"/>
      <c r="R83" s="13"/>
      <c r="S83" s="13"/>
      <c r="T83" s="13"/>
      <c r="U83" s="13"/>
      <c r="V83" s="13"/>
      <c r="W83" s="13"/>
      <c r="X83" s="14"/>
      <c r="Y83" s="14"/>
      <c r="Z83" s="14"/>
      <c r="AA83" s="14"/>
      <c r="AB83" s="14"/>
      <c r="AC83" s="15"/>
      <c r="AD83" s="57"/>
      <c r="AE83" s="12"/>
      <c r="AF83" s="29"/>
      <c r="AG83" s="29"/>
      <c r="AH83" s="29"/>
      <c r="AI83" s="29"/>
      <c r="AJ83" s="29"/>
      <c r="AK83" s="29"/>
      <c r="AL83" s="29"/>
      <c r="AM83" s="30"/>
      <c r="AN83" s="30"/>
      <c r="AO83" s="30"/>
      <c r="AP83" s="30"/>
      <c r="AQ83" s="31"/>
      <c r="AR83" s="57"/>
      <c r="AS83" s="28"/>
      <c r="AT83" s="29"/>
      <c r="AU83" s="29"/>
      <c r="AV83" s="29"/>
      <c r="AW83" s="29"/>
      <c r="AX83" s="29"/>
      <c r="AY83" s="29"/>
      <c r="AZ83" s="30"/>
      <c r="BA83" s="30"/>
      <c r="BB83" s="30"/>
      <c r="BC83" s="30"/>
      <c r="BD83" s="30"/>
      <c r="BE83" s="31"/>
      <c r="BF83" s="57"/>
      <c r="BG83" s="28"/>
      <c r="BH83" s="29"/>
      <c r="BI83" s="29"/>
      <c r="BJ83" s="29"/>
      <c r="BK83" s="29"/>
      <c r="BL83" s="29"/>
      <c r="BM83" s="29"/>
      <c r="BN83" s="29"/>
      <c r="BO83" s="30"/>
      <c r="BP83" s="30"/>
      <c r="BQ83" s="30"/>
      <c r="BR83" s="30"/>
      <c r="BS83" s="31"/>
      <c r="BT83" s="57"/>
      <c r="BU83" s="12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5"/>
      <c r="CH83" s="61"/>
      <c r="CI83" s="183"/>
      <c r="CJ83" s="52"/>
      <c r="CK83" s="134"/>
      <c r="CL83" s="135"/>
      <c r="CM83" s="135"/>
      <c r="CN83" s="135"/>
      <c r="CO83" s="136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</row>
    <row r="84" spans="1:143" s="37" customFormat="1" ht="12.95" customHeight="1" x14ac:dyDescent="0.2">
      <c r="A84" s="38"/>
      <c r="B84" s="91"/>
      <c r="C84" s="72" t="s">
        <v>0</v>
      </c>
      <c r="D84" s="173" t="s">
        <v>62</v>
      </c>
      <c r="E84" s="184"/>
      <c r="F84" s="184"/>
      <c r="G84" s="184"/>
      <c r="H84" s="184"/>
      <c r="I84" s="184"/>
      <c r="J84" s="184"/>
      <c r="K84" s="174"/>
      <c r="L84" s="173" t="s">
        <v>48</v>
      </c>
      <c r="M84" s="174"/>
      <c r="N84" s="173" t="s">
        <v>63</v>
      </c>
      <c r="O84" s="174"/>
      <c r="P84" s="85"/>
      <c r="Q84" s="72" t="s">
        <v>0</v>
      </c>
      <c r="R84" s="173" t="s">
        <v>62</v>
      </c>
      <c r="S84" s="184"/>
      <c r="T84" s="184"/>
      <c r="U84" s="184"/>
      <c r="V84" s="184"/>
      <c r="W84" s="184"/>
      <c r="X84" s="184"/>
      <c r="Y84" s="174"/>
      <c r="Z84" s="173" t="s">
        <v>48</v>
      </c>
      <c r="AA84" s="174"/>
      <c r="AB84" s="173" t="s">
        <v>63</v>
      </c>
      <c r="AC84" s="174"/>
      <c r="AD84" s="85"/>
      <c r="AE84" s="72" t="s">
        <v>0</v>
      </c>
      <c r="AF84" s="173" t="s">
        <v>62</v>
      </c>
      <c r="AG84" s="184"/>
      <c r="AH84" s="184"/>
      <c r="AI84" s="184"/>
      <c r="AJ84" s="184"/>
      <c r="AK84" s="184"/>
      <c r="AL84" s="184"/>
      <c r="AM84" s="174"/>
      <c r="AN84" s="173" t="s">
        <v>48</v>
      </c>
      <c r="AO84" s="174"/>
      <c r="AP84" s="173" t="s">
        <v>63</v>
      </c>
      <c r="AQ84" s="174"/>
      <c r="AR84" s="85"/>
      <c r="AS84" s="72" t="s">
        <v>0</v>
      </c>
      <c r="AT84" s="173" t="s">
        <v>62</v>
      </c>
      <c r="AU84" s="184"/>
      <c r="AV84" s="184"/>
      <c r="AW84" s="184"/>
      <c r="AX84" s="184"/>
      <c r="AY84" s="184"/>
      <c r="AZ84" s="184"/>
      <c r="BA84" s="174"/>
      <c r="BB84" s="173" t="s">
        <v>48</v>
      </c>
      <c r="BC84" s="174"/>
      <c r="BD84" s="173" t="s">
        <v>63</v>
      </c>
      <c r="BE84" s="174"/>
      <c r="BF84" s="85"/>
      <c r="BG84" s="72" t="s">
        <v>0</v>
      </c>
      <c r="BH84" s="173" t="s">
        <v>62</v>
      </c>
      <c r="BI84" s="184"/>
      <c r="BJ84" s="184"/>
      <c r="BK84" s="184"/>
      <c r="BL84" s="184"/>
      <c r="BM84" s="184"/>
      <c r="BN84" s="184"/>
      <c r="BO84" s="174"/>
      <c r="BP84" s="173" t="s">
        <v>48</v>
      </c>
      <c r="BQ84" s="174"/>
      <c r="BR84" s="173" t="s">
        <v>63</v>
      </c>
      <c r="BS84" s="174"/>
      <c r="BT84" s="85"/>
      <c r="BU84" s="72" t="s">
        <v>0</v>
      </c>
      <c r="BV84" s="173" t="s">
        <v>62</v>
      </c>
      <c r="BW84" s="184"/>
      <c r="BX84" s="184"/>
      <c r="BY84" s="184"/>
      <c r="BZ84" s="184"/>
      <c r="CA84" s="184"/>
      <c r="CB84" s="184"/>
      <c r="CC84" s="174"/>
      <c r="CD84" s="173" t="s">
        <v>48</v>
      </c>
      <c r="CE84" s="174"/>
      <c r="CF84" s="173" t="s">
        <v>63</v>
      </c>
      <c r="CG84" s="174"/>
      <c r="CH84" s="48"/>
      <c r="CI84" s="68"/>
      <c r="CJ84" s="53"/>
      <c r="CK84" s="134"/>
      <c r="CL84" s="135"/>
      <c r="CM84" s="135"/>
      <c r="CN84" s="135"/>
      <c r="CO84" s="136"/>
    </row>
    <row r="85" spans="1:143" s="32" customFormat="1" ht="12.95" customHeight="1" x14ac:dyDescent="0.2">
      <c r="A85" s="167" t="s">
        <v>58</v>
      </c>
      <c r="B85" s="45"/>
      <c r="C85" s="175" t="s">
        <v>162</v>
      </c>
      <c r="D85" s="152" t="s">
        <v>174</v>
      </c>
      <c r="E85" s="158"/>
      <c r="F85" s="158"/>
      <c r="G85" s="158"/>
      <c r="H85" s="158"/>
      <c r="I85" s="158"/>
      <c r="J85" s="158"/>
      <c r="K85" s="153"/>
      <c r="L85" s="152" t="s">
        <v>12</v>
      </c>
      <c r="M85" s="153"/>
      <c r="N85" s="152" t="s">
        <v>173</v>
      </c>
      <c r="O85" s="153"/>
      <c r="P85" s="85"/>
      <c r="Q85" s="175"/>
      <c r="R85" s="152"/>
      <c r="S85" s="158"/>
      <c r="T85" s="158"/>
      <c r="U85" s="158"/>
      <c r="V85" s="158"/>
      <c r="W85" s="158"/>
      <c r="X85" s="158"/>
      <c r="Y85" s="153"/>
      <c r="Z85" s="152"/>
      <c r="AA85" s="153"/>
      <c r="AB85" s="152"/>
      <c r="AC85" s="153"/>
      <c r="AD85" s="85"/>
      <c r="AE85" s="175" t="s">
        <v>162</v>
      </c>
      <c r="AF85" s="152" t="s">
        <v>175</v>
      </c>
      <c r="AG85" s="158"/>
      <c r="AH85" s="158"/>
      <c r="AI85" s="158"/>
      <c r="AJ85" s="158"/>
      <c r="AK85" s="158"/>
      <c r="AL85" s="158"/>
      <c r="AM85" s="153"/>
      <c r="AN85" s="152" t="s">
        <v>127</v>
      </c>
      <c r="AO85" s="153"/>
      <c r="AP85" s="152" t="s">
        <v>130</v>
      </c>
      <c r="AQ85" s="153"/>
      <c r="AR85" s="85"/>
      <c r="AS85" s="284">
        <v>1800</v>
      </c>
      <c r="AT85" s="152" t="s">
        <v>143</v>
      </c>
      <c r="AU85" s="158"/>
      <c r="AV85" s="158"/>
      <c r="AW85" s="158"/>
      <c r="AX85" s="158"/>
      <c r="AY85" s="158"/>
      <c r="AZ85" s="158"/>
      <c r="BA85" s="153"/>
      <c r="BB85" s="152" t="s">
        <v>144</v>
      </c>
      <c r="BC85" s="153"/>
      <c r="BD85" s="152" t="s">
        <v>103</v>
      </c>
      <c r="BE85" s="153"/>
      <c r="BF85" s="85"/>
      <c r="BG85" s="156"/>
      <c r="BH85" s="152"/>
      <c r="BI85" s="158"/>
      <c r="BJ85" s="158"/>
      <c r="BK85" s="158"/>
      <c r="BL85" s="158"/>
      <c r="BM85" s="158"/>
      <c r="BN85" s="158"/>
      <c r="BO85" s="153"/>
      <c r="BP85" s="169"/>
      <c r="BQ85" s="170"/>
      <c r="BR85" s="169"/>
      <c r="BS85" s="170"/>
      <c r="BT85" s="85"/>
      <c r="BU85" s="156"/>
      <c r="BV85" s="152"/>
      <c r="BW85" s="158"/>
      <c r="BX85" s="158"/>
      <c r="BY85" s="158"/>
      <c r="BZ85" s="158"/>
      <c r="CA85" s="158"/>
      <c r="CB85" s="158"/>
      <c r="CC85" s="153"/>
      <c r="CD85" s="163"/>
      <c r="CE85" s="164"/>
      <c r="CF85" s="163"/>
      <c r="CG85" s="164"/>
      <c r="CH85" s="49"/>
      <c r="CI85" s="167" t="s">
        <v>58</v>
      </c>
      <c r="CJ85" s="54"/>
      <c r="CK85" s="134"/>
      <c r="CL85" s="135"/>
      <c r="CM85" s="135"/>
      <c r="CN85" s="135"/>
      <c r="CO85" s="136"/>
    </row>
    <row r="86" spans="1:143" s="32" customFormat="1" ht="12.95" customHeight="1" x14ac:dyDescent="0.2">
      <c r="A86" s="167"/>
      <c r="B86" s="45"/>
      <c r="C86" s="157"/>
      <c r="D86" s="154"/>
      <c r="E86" s="159"/>
      <c r="F86" s="159"/>
      <c r="G86" s="159"/>
      <c r="H86" s="159"/>
      <c r="I86" s="159"/>
      <c r="J86" s="159"/>
      <c r="K86" s="155"/>
      <c r="L86" s="154"/>
      <c r="M86" s="155"/>
      <c r="N86" s="154"/>
      <c r="O86" s="155"/>
      <c r="P86" s="85"/>
      <c r="Q86" s="157"/>
      <c r="R86" s="154"/>
      <c r="S86" s="159"/>
      <c r="T86" s="159"/>
      <c r="U86" s="159"/>
      <c r="V86" s="159"/>
      <c r="W86" s="159"/>
      <c r="X86" s="159"/>
      <c r="Y86" s="155"/>
      <c r="Z86" s="154"/>
      <c r="AA86" s="155"/>
      <c r="AB86" s="154"/>
      <c r="AC86" s="155"/>
      <c r="AD86" s="85"/>
      <c r="AE86" s="157"/>
      <c r="AF86" s="154"/>
      <c r="AG86" s="159"/>
      <c r="AH86" s="159"/>
      <c r="AI86" s="159"/>
      <c r="AJ86" s="159"/>
      <c r="AK86" s="159"/>
      <c r="AL86" s="159"/>
      <c r="AM86" s="155"/>
      <c r="AN86" s="154"/>
      <c r="AO86" s="155"/>
      <c r="AP86" s="154"/>
      <c r="AQ86" s="155"/>
      <c r="AR86" s="85"/>
      <c r="AS86" s="157"/>
      <c r="AT86" s="154"/>
      <c r="AU86" s="159"/>
      <c r="AV86" s="159"/>
      <c r="AW86" s="159"/>
      <c r="AX86" s="159"/>
      <c r="AY86" s="159"/>
      <c r="AZ86" s="159"/>
      <c r="BA86" s="155"/>
      <c r="BB86" s="154"/>
      <c r="BC86" s="155"/>
      <c r="BD86" s="154"/>
      <c r="BE86" s="155"/>
      <c r="BF86" s="85"/>
      <c r="BG86" s="157"/>
      <c r="BH86" s="154"/>
      <c r="BI86" s="159"/>
      <c r="BJ86" s="159"/>
      <c r="BK86" s="159"/>
      <c r="BL86" s="159"/>
      <c r="BM86" s="159"/>
      <c r="BN86" s="159"/>
      <c r="BO86" s="155"/>
      <c r="BP86" s="171"/>
      <c r="BQ86" s="172"/>
      <c r="BR86" s="171"/>
      <c r="BS86" s="172"/>
      <c r="BT86" s="85"/>
      <c r="BU86" s="157"/>
      <c r="BV86" s="154"/>
      <c r="BW86" s="159"/>
      <c r="BX86" s="159"/>
      <c r="BY86" s="159"/>
      <c r="BZ86" s="159"/>
      <c r="CA86" s="159"/>
      <c r="CB86" s="159"/>
      <c r="CC86" s="155"/>
      <c r="CD86" s="165"/>
      <c r="CE86" s="166"/>
      <c r="CF86" s="165"/>
      <c r="CG86" s="166"/>
      <c r="CH86" s="49"/>
      <c r="CI86" s="167"/>
      <c r="CJ86" s="54"/>
      <c r="CK86" s="134"/>
      <c r="CL86" s="135"/>
      <c r="CM86" s="135"/>
      <c r="CN86" s="135"/>
      <c r="CO86" s="136"/>
    </row>
    <row r="87" spans="1:143" s="32" customFormat="1" ht="12.95" customHeight="1" x14ac:dyDescent="0.2">
      <c r="A87" s="167"/>
      <c r="B87" s="45"/>
      <c r="C87" s="175"/>
      <c r="D87" s="152"/>
      <c r="E87" s="158"/>
      <c r="F87" s="158"/>
      <c r="G87" s="158"/>
      <c r="H87" s="158"/>
      <c r="I87" s="158"/>
      <c r="J87" s="158"/>
      <c r="K87" s="153"/>
      <c r="L87" s="152"/>
      <c r="M87" s="153"/>
      <c r="N87" s="152"/>
      <c r="O87" s="153"/>
      <c r="P87" s="85"/>
      <c r="Q87" s="175"/>
      <c r="R87" s="152"/>
      <c r="S87" s="158"/>
      <c r="T87" s="158"/>
      <c r="U87" s="158"/>
      <c r="V87" s="158"/>
      <c r="W87" s="158"/>
      <c r="X87" s="158"/>
      <c r="Y87" s="153"/>
      <c r="Z87" s="152"/>
      <c r="AA87" s="153"/>
      <c r="AB87" s="152"/>
      <c r="AC87" s="153"/>
      <c r="AD87" s="85"/>
      <c r="AE87" s="175"/>
      <c r="AF87" s="152"/>
      <c r="AG87" s="158"/>
      <c r="AH87" s="158"/>
      <c r="AI87" s="158"/>
      <c r="AJ87" s="158"/>
      <c r="AK87" s="158"/>
      <c r="AL87" s="158"/>
      <c r="AM87" s="153"/>
      <c r="AN87" s="163"/>
      <c r="AO87" s="164"/>
      <c r="AP87" s="163"/>
      <c r="AQ87" s="164"/>
      <c r="AR87" s="85"/>
      <c r="AS87" s="156">
        <v>2100</v>
      </c>
      <c r="AT87" s="152" t="s">
        <v>142</v>
      </c>
      <c r="AU87" s="158"/>
      <c r="AV87" s="158"/>
      <c r="AW87" s="158"/>
      <c r="AX87" s="158"/>
      <c r="AY87" s="158"/>
      <c r="AZ87" s="158"/>
      <c r="BA87" s="153"/>
      <c r="BB87" s="152" t="s">
        <v>103</v>
      </c>
      <c r="BC87" s="153"/>
      <c r="BD87" s="152" t="s">
        <v>130</v>
      </c>
      <c r="BE87" s="153"/>
      <c r="BF87" s="85"/>
      <c r="BG87" s="156"/>
      <c r="BH87" s="152"/>
      <c r="BI87" s="158"/>
      <c r="BJ87" s="158"/>
      <c r="BK87" s="158"/>
      <c r="BL87" s="158"/>
      <c r="BM87" s="158"/>
      <c r="BN87" s="158"/>
      <c r="BO87" s="153"/>
      <c r="BP87" s="163"/>
      <c r="BQ87" s="164"/>
      <c r="BR87" s="163"/>
      <c r="BS87" s="164"/>
      <c r="BT87" s="85"/>
      <c r="BU87" s="156"/>
      <c r="BV87" s="152"/>
      <c r="BW87" s="158"/>
      <c r="BX87" s="158"/>
      <c r="BY87" s="158"/>
      <c r="BZ87" s="158"/>
      <c r="CA87" s="158"/>
      <c r="CB87" s="158"/>
      <c r="CC87" s="153"/>
      <c r="CD87" s="163"/>
      <c r="CE87" s="164"/>
      <c r="CF87" s="163"/>
      <c r="CG87" s="164"/>
      <c r="CH87" s="49"/>
      <c r="CI87" s="167"/>
      <c r="CJ87" s="54"/>
      <c r="CK87" s="134"/>
      <c r="CL87" s="135"/>
      <c r="CM87" s="135"/>
      <c r="CN87" s="135"/>
      <c r="CO87" s="136"/>
    </row>
    <row r="88" spans="1:143" s="32" customFormat="1" ht="12.95" customHeight="1" x14ac:dyDescent="0.2">
      <c r="A88" s="167"/>
      <c r="B88" s="45"/>
      <c r="C88" s="157"/>
      <c r="D88" s="154"/>
      <c r="E88" s="159"/>
      <c r="F88" s="159"/>
      <c r="G88" s="159"/>
      <c r="H88" s="159"/>
      <c r="I88" s="159"/>
      <c r="J88" s="159"/>
      <c r="K88" s="155"/>
      <c r="L88" s="154"/>
      <c r="M88" s="155"/>
      <c r="N88" s="154"/>
      <c r="O88" s="155"/>
      <c r="P88" s="85"/>
      <c r="Q88" s="157"/>
      <c r="R88" s="154"/>
      <c r="S88" s="159"/>
      <c r="T88" s="159"/>
      <c r="U88" s="159"/>
      <c r="V88" s="159"/>
      <c r="W88" s="159"/>
      <c r="X88" s="159"/>
      <c r="Y88" s="155"/>
      <c r="Z88" s="154"/>
      <c r="AA88" s="155"/>
      <c r="AB88" s="154"/>
      <c r="AC88" s="155"/>
      <c r="AD88" s="85"/>
      <c r="AE88" s="157"/>
      <c r="AF88" s="154"/>
      <c r="AG88" s="159"/>
      <c r="AH88" s="159"/>
      <c r="AI88" s="159"/>
      <c r="AJ88" s="159"/>
      <c r="AK88" s="159"/>
      <c r="AL88" s="159"/>
      <c r="AM88" s="155"/>
      <c r="AN88" s="165"/>
      <c r="AO88" s="166"/>
      <c r="AP88" s="165"/>
      <c r="AQ88" s="166"/>
      <c r="AR88" s="85"/>
      <c r="AS88" s="157"/>
      <c r="AT88" s="154"/>
      <c r="AU88" s="159"/>
      <c r="AV88" s="159"/>
      <c r="AW88" s="159"/>
      <c r="AX88" s="159"/>
      <c r="AY88" s="159"/>
      <c r="AZ88" s="159"/>
      <c r="BA88" s="155"/>
      <c r="BB88" s="154"/>
      <c r="BC88" s="155"/>
      <c r="BD88" s="154"/>
      <c r="BE88" s="155"/>
      <c r="BF88" s="85"/>
      <c r="BG88" s="157"/>
      <c r="BH88" s="154"/>
      <c r="BI88" s="159"/>
      <c r="BJ88" s="159"/>
      <c r="BK88" s="159"/>
      <c r="BL88" s="159"/>
      <c r="BM88" s="159"/>
      <c r="BN88" s="159"/>
      <c r="BO88" s="155"/>
      <c r="BP88" s="165"/>
      <c r="BQ88" s="166"/>
      <c r="BR88" s="165"/>
      <c r="BS88" s="166"/>
      <c r="BT88" s="85"/>
      <c r="BU88" s="157"/>
      <c r="BV88" s="154"/>
      <c r="BW88" s="159"/>
      <c r="BX88" s="159"/>
      <c r="BY88" s="159"/>
      <c r="BZ88" s="159"/>
      <c r="CA88" s="159"/>
      <c r="CB88" s="159"/>
      <c r="CC88" s="155"/>
      <c r="CD88" s="165"/>
      <c r="CE88" s="166"/>
      <c r="CF88" s="165"/>
      <c r="CG88" s="166"/>
      <c r="CH88" s="49"/>
      <c r="CI88" s="167"/>
      <c r="CJ88" s="54"/>
      <c r="CK88" s="134"/>
      <c r="CL88" s="135"/>
      <c r="CM88" s="135"/>
      <c r="CN88" s="135"/>
      <c r="CO88" s="136"/>
    </row>
    <row r="89" spans="1:143" s="32" customFormat="1" ht="12.95" customHeight="1" x14ac:dyDescent="0.2">
      <c r="A89" s="167"/>
      <c r="B89" s="45"/>
      <c r="C89" s="175"/>
      <c r="D89" s="152"/>
      <c r="E89" s="158"/>
      <c r="F89" s="158"/>
      <c r="G89" s="158"/>
      <c r="H89" s="158"/>
      <c r="I89" s="158"/>
      <c r="J89" s="158"/>
      <c r="K89" s="153"/>
      <c r="L89" s="152"/>
      <c r="M89" s="153"/>
      <c r="N89" s="152"/>
      <c r="O89" s="153"/>
      <c r="P89" s="85"/>
      <c r="Q89" s="175"/>
      <c r="R89" s="152"/>
      <c r="S89" s="158"/>
      <c r="T89" s="158"/>
      <c r="U89" s="158"/>
      <c r="V89" s="158"/>
      <c r="W89" s="158"/>
      <c r="X89" s="158"/>
      <c r="Y89" s="153"/>
      <c r="Z89" s="152"/>
      <c r="AA89" s="153"/>
      <c r="AB89" s="152"/>
      <c r="AC89" s="153"/>
      <c r="AD89" s="85"/>
      <c r="AE89" s="175"/>
      <c r="AF89" s="152"/>
      <c r="AG89" s="158"/>
      <c r="AH89" s="158"/>
      <c r="AI89" s="158"/>
      <c r="AJ89" s="158"/>
      <c r="AK89" s="158"/>
      <c r="AL89" s="158"/>
      <c r="AM89" s="153"/>
      <c r="AN89" s="163"/>
      <c r="AO89" s="164"/>
      <c r="AP89" s="163"/>
      <c r="AQ89" s="164"/>
      <c r="AR89" s="85"/>
      <c r="AS89" s="156"/>
      <c r="AT89" s="152"/>
      <c r="AU89" s="158"/>
      <c r="AV89" s="158"/>
      <c r="AW89" s="158"/>
      <c r="AX89" s="158"/>
      <c r="AY89" s="158"/>
      <c r="AZ89" s="158"/>
      <c r="BA89" s="153"/>
      <c r="BB89" s="163"/>
      <c r="BC89" s="164"/>
      <c r="BD89" s="163"/>
      <c r="BE89" s="164"/>
      <c r="BF89" s="85"/>
      <c r="BG89" s="156"/>
      <c r="BH89" s="152"/>
      <c r="BI89" s="158"/>
      <c r="BJ89" s="158"/>
      <c r="BK89" s="158"/>
      <c r="BL89" s="158"/>
      <c r="BM89" s="158"/>
      <c r="BN89" s="158"/>
      <c r="BO89" s="153"/>
      <c r="BP89" s="163"/>
      <c r="BQ89" s="164"/>
      <c r="BR89" s="163"/>
      <c r="BS89" s="164"/>
      <c r="BT89" s="85"/>
      <c r="BU89" s="156"/>
      <c r="BV89" s="152"/>
      <c r="BW89" s="158"/>
      <c r="BX89" s="158"/>
      <c r="BY89" s="158"/>
      <c r="BZ89" s="158"/>
      <c r="CA89" s="158"/>
      <c r="CB89" s="158"/>
      <c r="CC89" s="153"/>
      <c r="CD89" s="163"/>
      <c r="CE89" s="164"/>
      <c r="CF89" s="163"/>
      <c r="CG89" s="164"/>
      <c r="CH89" s="49"/>
      <c r="CI89" s="167"/>
      <c r="CJ89" s="54"/>
      <c r="CK89" s="134"/>
      <c r="CL89" s="135"/>
      <c r="CM89" s="135"/>
      <c r="CN89" s="135"/>
      <c r="CO89" s="136"/>
    </row>
    <row r="90" spans="1:143" s="32" customFormat="1" ht="12.95" customHeight="1" x14ac:dyDescent="0.2">
      <c r="A90" s="167"/>
      <c r="B90" s="45"/>
      <c r="C90" s="157"/>
      <c r="D90" s="154"/>
      <c r="E90" s="159"/>
      <c r="F90" s="159"/>
      <c r="G90" s="159"/>
      <c r="H90" s="159"/>
      <c r="I90" s="159"/>
      <c r="J90" s="159"/>
      <c r="K90" s="155"/>
      <c r="L90" s="154"/>
      <c r="M90" s="155"/>
      <c r="N90" s="154"/>
      <c r="O90" s="155"/>
      <c r="P90" s="85"/>
      <c r="Q90" s="157"/>
      <c r="R90" s="154"/>
      <c r="S90" s="159"/>
      <c r="T90" s="159"/>
      <c r="U90" s="159"/>
      <c r="V90" s="159"/>
      <c r="W90" s="159"/>
      <c r="X90" s="159"/>
      <c r="Y90" s="155"/>
      <c r="Z90" s="154"/>
      <c r="AA90" s="155"/>
      <c r="AB90" s="154"/>
      <c r="AC90" s="155"/>
      <c r="AD90" s="85"/>
      <c r="AE90" s="157"/>
      <c r="AF90" s="154"/>
      <c r="AG90" s="159"/>
      <c r="AH90" s="159"/>
      <c r="AI90" s="159"/>
      <c r="AJ90" s="159"/>
      <c r="AK90" s="159"/>
      <c r="AL90" s="159"/>
      <c r="AM90" s="155"/>
      <c r="AN90" s="165"/>
      <c r="AO90" s="166"/>
      <c r="AP90" s="165"/>
      <c r="AQ90" s="166"/>
      <c r="AR90" s="85"/>
      <c r="AS90" s="157"/>
      <c r="AT90" s="154"/>
      <c r="AU90" s="159"/>
      <c r="AV90" s="159"/>
      <c r="AW90" s="159"/>
      <c r="AX90" s="159"/>
      <c r="AY90" s="159"/>
      <c r="AZ90" s="159"/>
      <c r="BA90" s="155"/>
      <c r="BB90" s="165"/>
      <c r="BC90" s="166"/>
      <c r="BD90" s="165"/>
      <c r="BE90" s="166"/>
      <c r="BF90" s="85"/>
      <c r="BG90" s="157"/>
      <c r="BH90" s="154"/>
      <c r="BI90" s="159"/>
      <c r="BJ90" s="159"/>
      <c r="BK90" s="159"/>
      <c r="BL90" s="159"/>
      <c r="BM90" s="159"/>
      <c r="BN90" s="159"/>
      <c r="BO90" s="155"/>
      <c r="BP90" s="165"/>
      <c r="BQ90" s="166"/>
      <c r="BR90" s="165"/>
      <c r="BS90" s="166"/>
      <c r="BT90" s="85"/>
      <c r="BU90" s="157"/>
      <c r="BV90" s="154"/>
      <c r="BW90" s="159"/>
      <c r="BX90" s="159"/>
      <c r="BY90" s="159"/>
      <c r="BZ90" s="159"/>
      <c r="CA90" s="159"/>
      <c r="CB90" s="159"/>
      <c r="CC90" s="155"/>
      <c r="CD90" s="165"/>
      <c r="CE90" s="166"/>
      <c r="CF90" s="165"/>
      <c r="CG90" s="166"/>
      <c r="CH90" s="49"/>
      <c r="CI90" s="167"/>
      <c r="CJ90" s="54"/>
      <c r="CK90" s="134"/>
      <c r="CL90" s="135"/>
      <c r="CM90" s="135"/>
      <c r="CN90" s="135"/>
      <c r="CO90" s="136"/>
    </row>
    <row r="91" spans="1:143" s="32" customFormat="1" ht="12.95" customHeight="1" x14ac:dyDescent="0.2">
      <c r="A91" s="167"/>
      <c r="B91" s="45"/>
      <c r="C91" s="175"/>
      <c r="D91" s="152"/>
      <c r="E91" s="158"/>
      <c r="F91" s="158"/>
      <c r="G91" s="158"/>
      <c r="H91" s="158"/>
      <c r="I91" s="158"/>
      <c r="J91" s="158"/>
      <c r="K91" s="153"/>
      <c r="L91" s="163"/>
      <c r="M91" s="164"/>
      <c r="N91" s="163"/>
      <c r="O91" s="164"/>
      <c r="P91" s="85"/>
      <c r="Q91" s="175"/>
      <c r="R91" s="152"/>
      <c r="S91" s="158"/>
      <c r="T91" s="158"/>
      <c r="U91" s="158"/>
      <c r="V91" s="158"/>
      <c r="W91" s="158"/>
      <c r="X91" s="158"/>
      <c r="Y91" s="153"/>
      <c r="Z91" s="163"/>
      <c r="AA91" s="164"/>
      <c r="AB91" s="163"/>
      <c r="AC91" s="164"/>
      <c r="AD91" s="85"/>
      <c r="AE91" s="175"/>
      <c r="AF91" s="152"/>
      <c r="AG91" s="158"/>
      <c r="AH91" s="158"/>
      <c r="AI91" s="158"/>
      <c r="AJ91" s="158"/>
      <c r="AK91" s="158"/>
      <c r="AL91" s="158"/>
      <c r="AM91" s="153"/>
      <c r="AN91" s="163"/>
      <c r="AO91" s="164"/>
      <c r="AP91" s="163"/>
      <c r="AQ91" s="164"/>
      <c r="AR91" s="85"/>
      <c r="AS91" s="156"/>
      <c r="AT91" s="152"/>
      <c r="AU91" s="158"/>
      <c r="AV91" s="158"/>
      <c r="AW91" s="158"/>
      <c r="AX91" s="158"/>
      <c r="AY91" s="158"/>
      <c r="AZ91" s="158"/>
      <c r="BA91" s="153"/>
      <c r="BB91" s="163"/>
      <c r="BC91" s="164"/>
      <c r="BD91" s="163"/>
      <c r="BE91" s="164"/>
      <c r="BF91" s="85"/>
      <c r="BG91" s="156"/>
      <c r="BH91" s="152"/>
      <c r="BI91" s="158"/>
      <c r="BJ91" s="158"/>
      <c r="BK91" s="158"/>
      <c r="BL91" s="158"/>
      <c r="BM91" s="158"/>
      <c r="BN91" s="158"/>
      <c r="BO91" s="153"/>
      <c r="BP91" s="163"/>
      <c r="BQ91" s="164"/>
      <c r="BR91" s="163"/>
      <c r="BS91" s="164"/>
      <c r="BT91" s="85"/>
      <c r="BU91" s="156"/>
      <c r="BV91" s="152"/>
      <c r="BW91" s="158"/>
      <c r="BX91" s="158"/>
      <c r="BY91" s="158"/>
      <c r="BZ91" s="158"/>
      <c r="CA91" s="158"/>
      <c r="CB91" s="158"/>
      <c r="CC91" s="153"/>
      <c r="CD91" s="163"/>
      <c r="CE91" s="164"/>
      <c r="CF91" s="163"/>
      <c r="CG91" s="164"/>
      <c r="CH91" s="49"/>
      <c r="CI91" s="167"/>
      <c r="CJ91" s="54"/>
      <c r="CK91" s="134"/>
      <c r="CL91" s="135"/>
      <c r="CM91" s="135"/>
      <c r="CN91" s="135"/>
      <c r="CO91" s="136"/>
    </row>
    <row r="92" spans="1:143" s="32" customFormat="1" ht="12.95" customHeight="1" x14ac:dyDescent="0.2">
      <c r="A92" s="168"/>
      <c r="B92" s="92"/>
      <c r="C92" s="157"/>
      <c r="D92" s="154"/>
      <c r="E92" s="159"/>
      <c r="F92" s="159"/>
      <c r="G92" s="159"/>
      <c r="H92" s="159"/>
      <c r="I92" s="159"/>
      <c r="J92" s="159"/>
      <c r="K92" s="155"/>
      <c r="L92" s="165"/>
      <c r="M92" s="166"/>
      <c r="N92" s="165"/>
      <c r="O92" s="166"/>
      <c r="P92" s="85"/>
      <c r="Q92" s="157"/>
      <c r="R92" s="154"/>
      <c r="S92" s="159"/>
      <c r="T92" s="159"/>
      <c r="U92" s="159"/>
      <c r="V92" s="159"/>
      <c r="W92" s="159"/>
      <c r="X92" s="159"/>
      <c r="Y92" s="155"/>
      <c r="Z92" s="165"/>
      <c r="AA92" s="166"/>
      <c r="AB92" s="165"/>
      <c r="AC92" s="166"/>
      <c r="AD92" s="85"/>
      <c r="AE92" s="157"/>
      <c r="AF92" s="154"/>
      <c r="AG92" s="159"/>
      <c r="AH92" s="159"/>
      <c r="AI92" s="159"/>
      <c r="AJ92" s="159"/>
      <c r="AK92" s="159"/>
      <c r="AL92" s="159"/>
      <c r="AM92" s="155"/>
      <c r="AN92" s="165"/>
      <c r="AO92" s="166"/>
      <c r="AP92" s="165"/>
      <c r="AQ92" s="166"/>
      <c r="AR92" s="85"/>
      <c r="AS92" s="157"/>
      <c r="AT92" s="154"/>
      <c r="AU92" s="159"/>
      <c r="AV92" s="159"/>
      <c r="AW92" s="159"/>
      <c r="AX92" s="159"/>
      <c r="AY92" s="159"/>
      <c r="AZ92" s="159"/>
      <c r="BA92" s="155"/>
      <c r="BB92" s="165"/>
      <c r="BC92" s="166"/>
      <c r="BD92" s="165"/>
      <c r="BE92" s="166"/>
      <c r="BF92" s="85"/>
      <c r="BG92" s="157"/>
      <c r="BH92" s="154"/>
      <c r="BI92" s="159"/>
      <c r="BJ92" s="159"/>
      <c r="BK92" s="159"/>
      <c r="BL92" s="159"/>
      <c r="BM92" s="159"/>
      <c r="BN92" s="159"/>
      <c r="BO92" s="155"/>
      <c r="BP92" s="165"/>
      <c r="BQ92" s="166"/>
      <c r="BR92" s="165"/>
      <c r="BS92" s="166"/>
      <c r="BT92" s="85"/>
      <c r="BU92" s="157"/>
      <c r="BV92" s="154"/>
      <c r="BW92" s="159"/>
      <c r="BX92" s="159"/>
      <c r="BY92" s="159"/>
      <c r="BZ92" s="159"/>
      <c r="CA92" s="159"/>
      <c r="CB92" s="159"/>
      <c r="CC92" s="155"/>
      <c r="CD92" s="165"/>
      <c r="CE92" s="166"/>
      <c r="CF92" s="165"/>
      <c r="CG92" s="166"/>
      <c r="CH92" s="50"/>
      <c r="CI92" s="168"/>
      <c r="CJ92" s="54"/>
      <c r="CK92" s="134"/>
      <c r="CL92" s="135"/>
      <c r="CM92" s="135"/>
      <c r="CN92" s="135"/>
      <c r="CO92" s="136"/>
    </row>
    <row r="93" spans="1:143" ht="12.95" customHeight="1" x14ac:dyDescent="0.2">
      <c r="A93" s="160" t="s">
        <v>2</v>
      </c>
      <c r="B93" s="93"/>
      <c r="C93" s="140" t="s">
        <v>59</v>
      </c>
      <c r="D93" s="141"/>
      <c r="E93" s="141"/>
      <c r="F93" s="141"/>
      <c r="G93" s="124"/>
      <c r="H93" s="124"/>
      <c r="I93" s="124"/>
      <c r="J93" s="124"/>
      <c r="K93" s="149" t="s">
        <v>134</v>
      </c>
      <c r="L93" s="150"/>
      <c r="M93" s="150"/>
      <c r="N93" s="150"/>
      <c r="O93" s="151"/>
      <c r="P93" s="123"/>
      <c r="Q93" s="149" t="s">
        <v>59</v>
      </c>
      <c r="R93" s="150"/>
      <c r="S93" s="150"/>
      <c r="T93" s="150"/>
      <c r="U93" s="150"/>
      <c r="V93" s="150"/>
      <c r="W93" s="150"/>
      <c r="X93" s="151"/>
      <c r="Y93" s="149" t="s">
        <v>136</v>
      </c>
      <c r="Z93" s="150"/>
      <c r="AA93" s="150"/>
      <c r="AB93" s="150"/>
      <c r="AC93" s="151"/>
      <c r="AD93" s="123"/>
      <c r="AE93" s="149" t="s">
        <v>59</v>
      </c>
      <c r="AF93" s="150"/>
      <c r="AG93" s="150"/>
      <c r="AH93" s="150"/>
      <c r="AI93" s="150"/>
      <c r="AJ93" s="150"/>
      <c r="AK93" s="150"/>
      <c r="AL93" s="151"/>
      <c r="AM93" s="149" t="s">
        <v>133</v>
      </c>
      <c r="AN93" s="150"/>
      <c r="AO93" s="150"/>
      <c r="AP93" s="150"/>
      <c r="AQ93" s="151"/>
      <c r="AR93" s="123"/>
      <c r="AS93" s="149" t="s">
        <v>59</v>
      </c>
      <c r="AT93" s="150"/>
      <c r="AU93" s="150"/>
      <c r="AV93" s="150"/>
      <c r="AW93" s="150"/>
      <c r="AX93" s="150"/>
      <c r="AY93" s="150"/>
      <c r="AZ93" s="151"/>
      <c r="BA93" s="149" t="s">
        <v>132</v>
      </c>
      <c r="BB93" s="150"/>
      <c r="BC93" s="150"/>
      <c r="BD93" s="150"/>
      <c r="BE93" s="151"/>
      <c r="BF93" s="123"/>
      <c r="BG93" s="149" t="s">
        <v>59</v>
      </c>
      <c r="BH93" s="150"/>
      <c r="BI93" s="150"/>
      <c r="BJ93" s="150"/>
      <c r="BK93" s="150"/>
      <c r="BL93" s="150"/>
      <c r="BM93" s="150"/>
      <c r="BN93" s="151"/>
      <c r="BO93" s="149"/>
      <c r="BP93" s="150"/>
      <c r="BQ93" s="150"/>
      <c r="BR93" s="150"/>
      <c r="BS93" s="151"/>
      <c r="BT93" s="123"/>
      <c r="BU93" s="149"/>
      <c r="BV93" s="150"/>
      <c r="BW93" s="150"/>
      <c r="BX93" s="150"/>
      <c r="BY93" s="150"/>
      <c r="BZ93" s="150"/>
      <c r="CA93" s="150"/>
      <c r="CB93" s="151"/>
      <c r="CC93" s="149"/>
      <c r="CD93" s="150"/>
      <c r="CE93" s="150"/>
      <c r="CF93" s="150"/>
      <c r="CG93" s="151"/>
      <c r="CH93" s="65"/>
      <c r="CI93" s="160" t="s">
        <v>2</v>
      </c>
      <c r="CJ93" s="55"/>
      <c r="CK93" s="134"/>
      <c r="CL93" s="135"/>
      <c r="CM93" s="135"/>
      <c r="CN93" s="135"/>
      <c r="CO93" s="136"/>
    </row>
    <row r="94" spans="1:143" ht="12.95" customHeight="1" x14ac:dyDescent="0.2">
      <c r="A94" s="161"/>
      <c r="B94" s="46"/>
      <c r="C94" s="140" t="s">
        <v>60</v>
      </c>
      <c r="D94" s="141"/>
      <c r="E94" s="141"/>
      <c r="F94" s="142"/>
      <c r="G94" s="124"/>
      <c r="H94" s="124"/>
      <c r="I94" s="124"/>
      <c r="J94" s="124"/>
      <c r="K94" s="143" t="s">
        <v>172</v>
      </c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CB94" s="144"/>
      <c r="CC94" s="144"/>
      <c r="CD94" s="144"/>
      <c r="CE94" s="144"/>
      <c r="CF94" s="144"/>
      <c r="CG94" s="145"/>
      <c r="CH94" s="66"/>
      <c r="CI94" s="161"/>
      <c r="CJ94" s="55"/>
      <c r="CK94" s="134"/>
      <c r="CL94" s="135"/>
      <c r="CM94" s="135"/>
      <c r="CN94" s="135"/>
      <c r="CO94" s="136"/>
    </row>
    <row r="95" spans="1:143" ht="12.95" customHeight="1" x14ac:dyDescent="0.2">
      <c r="A95" s="161"/>
      <c r="B95" s="46"/>
      <c r="C95" s="140" t="s">
        <v>8</v>
      </c>
      <c r="D95" s="141"/>
      <c r="E95" s="141"/>
      <c r="F95" s="142"/>
      <c r="G95" s="124"/>
      <c r="H95" s="124"/>
      <c r="I95" s="124"/>
      <c r="J95" s="124"/>
      <c r="K95" s="143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5"/>
      <c r="CH95" s="66"/>
      <c r="CI95" s="161"/>
      <c r="CJ95" s="55"/>
      <c r="CK95" s="134"/>
      <c r="CL95" s="135"/>
      <c r="CM95" s="135"/>
      <c r="CN95" s="135"/>
      <c r="CO95" s="136"/>
    </row>
    <row r="96" spans="1:143" ht="12.95" customHeight="1" x14ac:dyDescent="0.2">
      <c r="A96" s="162"/>
      <c r="B96" s="47"/>
      <c r="C96" s="146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  <c r="CC96" s="147"/>
      <c r="CD96" s="147"/>
      <c r="CE96" s="147"/>
      <c r="CF96" s="147"/>
      <c r="CG96" s="148"/>
      <c r="CH96" s="67"/>
      <c r="CI96" s="162"/>
      <c r="CJ96" s="56"/>
      <c r="CK96" s="137"/>
      <c r="CL96" s="138"/>
      <c r="CM96" s="138"/>
      <c r="CN96" s="138"/>
      <c r="CO96" s="139"/>
    </row>
  </sheetData>
  <sheetProtection formatCells="0" selectLockedCells="1"/>
  <mergeCells count="338">
    <mergeCell ref="A5:A6"/>
    <mergeCell ref="C5:O5"/>
    <mergeCell ref="Q5:AC5"/>
    <mergeCell ref="AE5:AQ5"/>
    <mergeCell ref="AS5:BE5"/>
    <mergeCell ref="BG5:BS5"/>
    <mergeCell ref="A1:CO1"/>
    <mergeCell ref="G2:CM2"/>
    <mergeCell ref="CN2:CO2"/>
    <mergeCell ref="H3:I3"/>
    <mergeCell ref="K3:L3"/>
    <mergeCell ref="M3:N3"/>
    <mergeCell ref="U3:Y3"/>
    <mergeCell ref="Z3:AB3"/>
    <mergeCell ref="AC3:AH3"/>
    <mergeCell ref="BU5:CG5"/>
    <mergeCell ref="CI5:CI6"/>
    <mergeCell ref="CK5:CO6"/>
    <mergeCell ref="C6:O6"/>
    <mergeCell ref="Q6:AC6"/>
    <mergeCell ref="AE6:AQ6"/>
    <mergeCell ref="AS6:BE6"/>
    <mergeCell ref="BG6:BS6"/>
    <mergeCell ref="BU6:CG6"/>
    <mergeCell ref="Y7:Z7"/>
    <mergeCell ref="BM7:BN7"/>
    <mergeCell ref="BO7:BP7"/>
    <mergeCell ref="AS7:AT7"/>
    <mergeCell ref="AU7:AV7"/>
    <mergeCell ref="AW7:AX7"/>
    <mergeCell ref="AY7:AZ7"/>
    <mergeCell ref="BA7:BB7"/>
    <mergeCell ref="C7:D7"/>
    <mergeCell ref="E7:F7"/>
    <mergeCell ref="G7:H7"/>
    <mergeCell ref="I7:J7"/>
    <mergeCell ref="K7:L7"/>
    <mergeCell ref="AE7:AF7"/>
    <mergeCell ref="AG7:AH7"/>
    <mergeCell ref="AI7:AJ7"/>
    <mergeCell ref="AK7:AL7"/>
    <mergeCell ref="AM7:AN7"/>
    <mergeCell ref="Q7:R7"/>
    <mergeCell ref="S7:T7"/>
    <mergeCell ref="U7:V7"/>
    <mergeCell ref="N7:O7"/>
    <mergeCell ref="AB7:AC7"/>
    <mergeCell ref="AP7:AQ7"/>
    <mergeCell ref="A16:A19"/>
    <mergeCell ref="CI16:CI19"/>
    <mergeCell ref="CK16:CO17"/>
    <mergeCell ref="CK18:CK19"/>
    <mergeCell ref="CL18:CL19"/>
    <mergeCell ref="CM18:CM19"/>
    <mergeCell ref="CN18:CN19"/>
    <mergeCell ref="CO18:CO19"/>
    <mergeCell ref="CK7:CO7"/>
    <mergeCell ref="A8:A11"/>
    <mergeCell ref="CI8:CI11"/>
    <mergeCell ref="CK8:CO11"/>
    <mergeCell ref="A12:A15"/>
    <mergeCell ref="CI12:CI15"/>
    <mergeCell ref="CK12:CO15"/>
    <mergeCell ref="BU7:BV7"/>
    <mergeCell ref="BW7:BX7"/>
    <mergeCell ref="BY7:BZ7"/>
    <mergeCell ref="CA7:CB7"/>
    <mergeCell ref="CC7:CD7"/>
    <mergeCell ref="BG7:BH7"/>
    <mergeCell ref="BI7:BJ7"/>
    <mergeCell ref="BK7:BL7"/>
    <mergeCell ref="W7:X7"/>
    <mergeCell ref="CO20:CO21"/>
    <mergeCell ref="CK22:CK23"/>
    <mergeCell ref="CL22:CL23"/>
    <mergeCell ref="CM22:CM23"/>
    <mergeCell ref="CN22:CN23"/>
    <mergeCell ref="CO22:CO23"/>
    <mergeCell ref="A20:A23"/>
    <mergeCell ref="CI20:CI23"/>
    <mergeCell ref="CK20:CK21"/>
    <mergeCell ref="CL20:CL21"/>
    <mergeCell ref="CM20:CM21"/>
    <mergeCell ref="CN20:CN21"/>
    <mergeCell ref="CO24:CO25"/>
    <mergeCell ref="CK26:CK27"/>
    <mergeCell ref="CL26:CL27"/>
    <mergeCell ref="CM26:CM27"/>
    <mergeCell ref="CN26:CN27"/>
    <mergeCell ref="CO26:CO27"/>
    <mergeCell ref="A24:A27"/>
    <mergeCell ref="CI24:CI27"/>
    <mergeCell ref="CK24:CK25"/>
    <mergeCell ref="CL24:CL25"/>
    <mergeCell ref="CM24:CM25"/>
    <mergeCell ref="CN24:CN25"/>
    <mergeCell ref="CO28:CO29"/>
    <mergeCell ref="CK30:CK31"/>
    <mergeCell ref="CL30:CL31"/>
    <mergeCell ref="CM30:CM31"/>
    <mergeCell ref="CN30:CN31"/>
    <mergeCell ref="CO30:CO31"/>
    <mergeCell ref="A28:A31"/>
    <mergeCell ref="CI28:CI31"/>
    <mergeCell ref="CK28:CK29"/>
    <mergeCell ref="CL28:CL29"/>
    <mergeCell ref="CM28:CM29"/>
    <mergeCell ref="CN28:CN29"/>
    <mergeCell ref="CO32:CO33"/>
    <mergeCell ref="CK34:CK35"/>
    <mergeCell ref="CL34:CL35"/>
    <mergeCell ref="CM34:CM35"/>
    <mergeCell ref="CN34:CN35"/>
    <mergeCell ref="CO34:CO35"/>
    <mergeCell ref="A32:A35"/>
    <mergeCell ref="CI32:CI35"/>
    <mergeCell ref="CK32:CK33"/>
    <mergeCell ref="CL32:CL33"/>
    <mergeCell ref="CM32:CM33"/>
    <mergeCell ref="CN32:CN33"/>
    <mergeCell ref="A40:A43"/>
    <mergeCell ref="CI40:CI43"/>
    <mergeCell ref="CK40:CK41"/>
    <mergeCell ref="CL40:CL41"/>
    <mergeCell ref="CM40:CM41"/>
    <mergeCell ref="CN40:CN41"/>
    <mergeCell ref="CO36:CO37"/>
    <mergeCell ref="CK38:CK39"/>
    <mergeCell ref="CL38:CL39"/>
    <mergeCell ref="CM38:CM39"/>
    <mergeCell ref="CN38:CN39"/>
    <mergeCell ref="CO38:CO39"/>
    <mergeCell ref="A36:A39"/>
    <mergeCell ref="CI36:CI39"/>
    <mergeCell ref="CK36:CK37"/>
    <mergeCell ref="CL36:CL37"/>
    <mergeCell ref="CM36:CM37"/>
    <mergeCell ref="CN36:CN37"/>
    <mergeCell ref="CO40:CO41"/>
    <mergeCell ref="BU41:CG42"/>
    <mergeCell ref="CK42:CK43"/>
    <mergeCell ref="CL42:CL43"/>
    <mergeCell ref="CM42:CM43"/>
    <mergeCell ref="CN42:CN43"/>
    <mergeCell ref="CO42:CO43"/>
    <mergeCell ref="BU43:CG44"/>
    <mergeCell ref="CO44:CO45"/>
    <mergeCell ref="CO46:CO47"/>
    <mergeCell ref="A48:A51"/>
    <mergeCell ref="CI48:CI51"/>
    <mergeCell ref="CK48:CK49"/>
    <mergeCell ref="CL48:CL49"/>
    <mergeCell ref="CM48:CM49"/>
    <mergeCell ref="CN48:CN49"/>
    <mergeCell ref="CO48:CO49"/>
    <mergeCell ref="CK50:CK51"/>
    <mergeCell ref="CL50:CL51"/>
    <mergeCell ref="A44:A47"/>
    <mergeCell ref="CI44:CI47"/>
    <mergeCell ref="CK44:CK45"/>
    <mergeCell ref="CL44:CL45"/>
    <mergeCell ref="CM44:CM45"/>
    <mergeCell ref="CN44:CN45"/>
    <mergeCell ref="CK46:CK47"/>
    <mergeCell ref="CL46:CL47"/>
    <mergeCell ref="CM46:CM47"/>
    <mergeCell ref="CN46:CN47"/>
    <mergeCell ref="CM50:CM51"/>
    <mergeCell ref="CN50:CN51"/>
    <mergeCell ref="CO50:CO51"/>
    <mergeCell ref="A52:A55"/>
    <mergeCell ref="CI52:CI55"/>
    <mergeCell ref="CK53:CO54"/>
    <mergeCell ref="CK55:CO56"/>
    <mergeCell ref="A56:A59"/>
    <mergeCell ref="CI56:CI59"/>
    <mergeCell ref="CK57:CO58"/>
    <mergeCell ref="CK59:CO60"/>
    <mergeCell ref="A60:A63"/>
    <mergeCell ref="CI60:CI63"/>
    <mergeCell ref="CK61:CO62"/>
    <mergeCell ref="CK63:CO64"/>
    <mergeCell ref="A64:A67"/>
    <mergeCell ref="CI64:CI67"/>
    <mergeCell ref="CK65:CO66"/>
    <mergeCell ref="CK67:CO68"/>
    <mergeCell ref="A68:A71"/>
    <mergeCell ref="CI68:CI71"/>
    <mergeCell ref="CK69:CO70"/>
    <mergeCell ref="CK71:CO72"/>
    <mergeCell ref="A72:A75"/>
    <mergeCell ref="CI72:CI75"/>
    <mergeCell ref="CK73:CO74"/>
    <mergeCell ref="CK75:CO76"/>
    <mergeCell ref="A76:A79"/>
    <mergeCell ref="CI76:CI79"/>
    <mergeCell ref="CK77:CO78"/>
    <mergeCell ref="CK79:CO96"/>
    <mergeCell ref="A80:A83"/>
    <mergeCell ref="CI80:CI83"/>
    <mergeCell ref="D84:K84"/>
    <mergeCell ref="L84:M84"/>
    <mergeCell ref="N84:O84"/>
    <mergeCell ref="R84:Y84"/>
    <mergeCell ref="Z84:AA84"/>
    <mergeCell ref="AB84:AC84"/>
    <mergeCell ref="AF84:AM84"/>
    <mergeCell ref="D85:K86"/>
    <mergeCell ref="L85:M86"/>
    <mergeCell ref="N85:O86"/>
    <mergeCell ref="AN84:AO84"/>
    <mergeCell ref="AP84:AQ84"/>
    <mergeCell ref="AT84:BA84"/>
    <mergeCell ref="BB84:BC84"/>
    <mergeCell ref="BD84:BE84"/>
    <mergeCell ref="BH84:BO84"/>
    <mergeCell ref="Z85:AA86"/>
    <mergeCell ref="AB85:AC86"/>
    <mergeCell ref="AE85:AE86"/>
    <mergeCell ref="AF85:AM86"/>
    <mergeCell ref="BP84:BQ84"/>
    <mergeCell ref="BR84:BS84"/>
    <mergeCell ref="BV84:CC84"/>
    <mergeCell ref="CD84:CE84"/>
    <mergeCell ref="CF84:CG84"/>
    <mergeCell ref="CD85:CE86"/>
    <mergeCell ref="CF85:CG86"/>
    <mergeCell ref="CI85:CI92"/>
    <mergeCell ref="C87:C88"/>
    <mergeCell ref="D87:K88"/>
    <mergeCell ref="L87:M88"/>
    <mergeCell ref="N87:O88"/>
    <mergeCell ref="Q87:Q88"/>
    <mergeCell ref="R87:Y88"/>
    <mergeCell ref="Z87:AA88"/>
    <mergeCell ref="BG85:BG86"/>
    <mergeCell ref="BH85:BO86"/>
    <mergeCell ref="BP85:BQ86"/>
    <mergeCell ref="BR85:BS86"/>
    <mergeCell ref="BU85:BU86"/>
    <mergeCell ref="BV85:CC86"/>
    <mergeCell ref="AN85:AO86"/>
    <mergeCell ref="AP85:AQ86"/>
    <mergeCell ref="AS85:AS86"/>
    <mergeCell ref="AT85:BA86"/>
    <mergeCell ref="BB85:BC86"/>
    <mergeCell ref="BD85:BE86"/>
    <mergeCell ref="Q85:Q86"/>
    <mergeCell ref="R85:Y86"/>
    <mergeCell ref="C89:C90"/>
    <mergeCell ref="D89:K90"/>
    <mergeCell ref="L89:M90"/>
    <mergeCell ref="N89:O90"/>
    <mergeCell ref="AF89:AM90"/>
    <mergeCell ref="AN89:AO90"/>
    <mergeCell ref="AS89:AS90"/>
    <mergeCell ref="AT89:BA90"/>
    <mergeCell ref="BB89:BC90"/>
    <mergeCell ref="BD89:BE90"/>
    <mergeCell ref="BG89:BG90"/>
    <mergeCell ref="R89:Y90"/>
    <mergeCell ref="Z89:AA90"/>
    <mergeCell ref="C91:C92"/>
    <mergeCell ref="D91:K92"/>
    <mergeCell ref="L91:M92"/>
    <mergeCell ref="N91:O92"/>
    <mergeCell ref="Q91:Q92"/>
    <mergeCell ref="R91:Y92"/>
    <mergeCell ref="Z91:AA92"/>
    <mergeCell ref="AB91:AC92"/>
    <mergeCell ref="AE91:AE92"/>
    <mergeCell ref="AF87:AM88"/>
    <mergeCell ref="AN87:AO88"/>
    <mergeCell ref="AP87:AQ88"/>
    <mergeCell ref="AS87:AS88"/>
    <mergeCell ref="AB89:AC90"/>
    <mergeCell ref="AE89:AE90"/>
    <mergeCell ref="BV87:CC88"/>
    <mergeCell ref="CD87:CE88"/>
    <mergeCell ref="CF87:CG88"/>
    <mergeCell ref="BH87:BO88"/>
    <mergeCell ref="BP87:BQ88"/>
    <mergeCell ref="CF89:CG90"/>
    <mergeCell ref="BH89:BO90"/>
    <mergeCell ref="BP89:BQ90"/>
    <mergeCell ref="BR89:BS90"/>
    <mergeCell ref="BU89:BU90"/>
    <mergeCell ref="BV89:CC90"/>
    <mergeCell ref="CD89:CE90"/>
    <mergeCell ref="AP89:AQ90"/>
    <mergeCell ref="A93:A96"/>
    <mergeCell ref="C93:F93"/>
    <mergeCell ref="K93:O93"/>
    <mergeCell ref="Q93:X93"/>
    <mergeCell ref="Y93:AC93"/>
    <mergeCell ref="AE93:AL93"/>
    <mergeCell ref="AM93:AQ93"/>
    <mergeCell ref="BD91:BE92"/>
    <mergeCell ref="BG91:BG92"/>
    <mergeCell ref="AF91:AM92"/>
    <mergeCell ref="AN91:AO92"/>
    <mergeCell ref="AP91:AQ92"/>
    <mergeCell ref="AS91:AS92"/>
    <mergeCell ref="AT91:BA92"/>
    <mergeCell ref="BB91:BC92"/>
    <mergeCell ref="A85:A92"/>
    <mergeCell ref="C85:C86"/>
    <mergeCell ref="Q89:Q90"/>
    <mergeCell ref="AT87:BA88"/>
    <mergeCell ref="BB87:BC88"/>
    <mergeCell ref="BD87:BE88"/>
    <mergeCell ref="BG87:BG88"/>
    <mergeCell ref="AB87:AC88"/>
    <mergeCell ref="AE87:AE88"/>
    <mergeCell ref="BD7:BE7"/>
    <mergeCell ref="BR7:BS7"/>
    <mergeCell ref="CF7:CG7"/>
    <mergeCell ref="CI93:CI96"/>
    <mergeCell ref="C94:F94"/>
    <mergeCell ref="K94:CG94"/>
    <mergeCell ref="C95:F95"/>
    <mergeCell ref="K95:CG95"/>
    <mergeCell ref="C96:CG96"/>
    <mergeCell ref="AS93:AZ93"/>
    <mergeCell ref="BA93:BE93"/>
    <mergeCell ref="BG93:BN93"/>
    <mergeCell ref="BO93:BS93"/>
    <mergeCell ref="BU93:CB93"/>
    <mergeCell ref="CC93:CG93"/>
    <mergeCell ref="BV91:CC92"/>
    <mergeCell ref="CD91:CE92"/>
    <mergeCell ref="CF91:CG92"/>
    <mergeCell ref="BH91:BO92"/>
    <mergeCell ref="BP91:BQ92"/>
    <mergeCell ref="BR91:BS92"/>
    <mergeCell ref="BU91:BU92"/>
    <mergeCell ref="BR87:BS88"/>
    <mergeCell ref="BU87:BU88"/>
  </mergeCells>
  <printOptions horizontalCentered="1" verticalCentered="1"/>
  <pageMargins left="0.27559055118110237" right="0.27559055118110237" top="0.31496062992125984" bottom="0.31496062992125984" header="0.31496062992125984" footer="0.31496062992125984"/>
  <pageSetup paperSize="9" scale="44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M96"/>
  <sheetViews>
    <sheetView view="pageBreakPreview" zoomScale="80" zoomScaleNormal="100" zoomScaleSheetLayoutView="80" zoomScalePageLayoutView="90" workbookViewId="0">
      <pane xSplit="1" ySplit="7" topLeftCell="B8" activePane="bottomRight" state="frozen"/>
      <selection pane="topRight" activeCell="B1" sqref="B1"/>
      <selection pane="bottomLeft" activeCell="A6" sqref="A6"/>
      <selection pane="bottomRight" activeCell="A3" sqref="A3"/>
    </sheetView>
  </sheetViews>
  <sheetFormatPr baseColWidth="10" defaultRowHeight="12.75" x14ac:dyDescent="0.2"/>
  <cols>
    <col min="1" max="1" width="5.7109375" style="109" customWidth="1"/>
    <col min="2" max="2" width="0.85546875" style="109" customWidth="1"/>
    <col min="3" max="14" width="3.42578125" style="109" customWidth="1"/>
    <col min="15" max="15" width="3.7109375" style="109" customWidth="1"/>
    <col min="16" max="16" width="0.85546875" style="109" customWidth="1"/>
    <col min="17" max="28" width="3.42578125" style="109" customWidth="1"/>
    <col min="29" max="29" width="3.7109375" style="109" customWidth="1"/>
    <col min="30" max="30" width="0.85546875" style="109" customWidth="1"/>
    <col min="31" max="42" width="3.42578125" style="109" customWidth="1"/>
    <col min="43" max="43" width="3.7109375" style="109" customWidth="1"/>
    <col min="44" max="44" width="0.85546875" style="109" customWidth="1"/>
    <col min="45" max="56" width="3.42578125" style="109" customWidth="1"/>
    <col min="57" max="57" width="3.7109375" style="109" customWidth="1"/>
    <col min="58" max="58" width="0.85546875" style="109" customWidth="1"/>
    <col min="59" max="70" width="3.42578125" style="109" customWidth="1"/>
    <col min="71" max="71" width="3.7109375" style="109" customWidth="1"/>
    <col min="72" max="72" width="0.85546875" style="109" customWidth="1"/>
    <col min="73" max="85" width="3.28515625" style="109" customWidth="1"/>
    <col min="86" max="86" width="0.85546875" style="109" customWidth="1"/>
    <col min="87" max="87" width="5.7109375" style="109" customWidth="1"/>
    <col min="88" max="88" width="0.85546875" style="109" customWidth="1"/>
    <col min="89" max="89" width="2.7109375" style="109" customWidth="1"/>
    <col min="90" max="90" width="3.7109375" style="109" customWidth="1"/>
    <col min="91" max="91" width="18.7109375" style="109" customWidth="1"/>
    <col min="92" max="92" width="11.7109375" style="109" customWidth="1"/>
    <col min="93" max="93" width="4.28515625" style="109" customWidth="1"/>
    <col min="94" max="16384" width="11.42578125" style="109"/>
  </cols>
  <sheetData>
    <row r="1" spans="1:143" ht="18" x14ac:dyDescent="0.25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</row>
    <row r="2" spans="1:143" ht="20.100000000000001" customHeight="1" x14ac:dyDescent="0.25">
      <c r="A2" s="94" t="s">
        <v>3</v>
      </c>
      <c r="B2" s="94"/>
      <c r="C2" s="110"/>
      <c r="D2" s="110"/>
      <c r="E2" s="110"/>
      <c r="F2" s="110"/>
      <c r="G2" s="254" t="s">
        <v>96</v>
      </c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S2" s="254"/>
      <c r="AT2" s="254"/>
      <c r="AU2" s="254"/>
      <c r="AV2" s="254"/>
      <c r="AW2" s="254"/>
      <c r="AX2" s="254"/>
      <c r="AY2" s="254"/>
      <c r="AZ2" s="254"/>
      <c r="BA2" s="254"/>
      <c r="BB2" s="254"/>
      <c r="BC2" s="254"/>
      <c r="BD2" s="254"/>
      <c r="BE2" s="254"/>
      <c r="BF2" s="254"/>
      <c r="BG2" s="254"/>
      <c r="BH2" s="254"/>
      <c r="BI2" s="254"/>
      <c r="BJ2" s="254"/>
      <c r="BK2" s="254"/>
      <c r="BL2" s="254"/>
      <c r="BM2" s="254"/>
      <c r="BN2" s="254"/>
      <c r="BO2" s="254"/>
      <c r="BP2" s="254"/>
      <c r="BQ2" s="254"/>
      <c r="BR2" s="254"/>
      <c r="BS2" s="254"/>
      <c r="BT2" s="254"/>
      <c r="BU2" s="254"/>
      <c r="BV2" s="254"/>
      <c r="BW2" s="254"/>
      <c r="BX2" s="254"/>
      <c r="BY2" s="254"/>
      <c r="BZ2" s="254"/>
      <c r="CA2" s="254"/>
      <c r="CB2" s="254"/>
      <c r="CC2" s="254"/>
      <c r="CD2" s="254"/>
      <c r="CE2" s="254"/>
      <c r="CF2" s="254"/>
      <c r="CG2" s="254"/>
      <c r="CH2" s="254"/>
      <c r="CI2" s="254"/>
      <c r="CJ2" s="254"/>
      <c r="CK2" s="254"/>
      <c r="CL2" s="254"/>
      <c r="CM2" s="254"/>
      <c r="CN2" s="255">
        <f ca="1">TODAY()</f>
        <v>43915</v>
      </c>
      <c r="CO2" s="255"/>
    </row>
    <row r="3" spans="1:143" s="114" customFormat="1" ht="20.100000000000001" customHeight="1" x14ac:dyDescent="0.25">
      <c r="A3" s="80" t="s">
        <v>34</v>
      </c>
      <c r="B3" s="80"/>
      <c r="C3" s="80"/>
      <c r="D3" s="80"/>
      <c r="E3" s="80"/>
      <c r="F3" s="80"/>
      <c r="G3" s="111"/>
      <c r="H3" s="256">
        <v>2</v>
      </c>
      <c r="I3" s="256"/>
      <c r="J3" s="111"/>
      <c r="K3" s="257" t="s">
        <v>94</v>
      </c>
      <c r="L3" s="257"/>
      <c r="M3" s="256">
        <v>1</v>
      </c>
      <c r="N3" s="256"/>
      <c r="O3" s="111"/>
      <c r="P3" s="112"/>
      <c r="Q3" s="111"/>
      <c r="R3" s="111"/>
      <c r="S3" s="80" t="s">
        <v>35</v>
      </c>
      <c r="T3" s="81"/>
      <c r="U3" s="258">
        <v>43108</v>
      </c>
      <c r="V3" s="258"/>
      <c r="W3" s="258"/>
      <c r="X3" s="258"/>
      <c r="Y3" s="258"/>
      <c r="Z3" s="259" t="s">
        <v>36</v>
      </c>
      <c r="AA3" s="259"/>
      <c r="AB3" s="259"/>
      <c r="AC3" s="260">
        <f>U3+6</f>
        <v>43114</v>
      </c>
      <c r="AD3" s="260"/>
      <c r="AE3" s="260"/>
      <c r="AF3" s="260"/>
      <c r="AG3" s="260"/>
      <c r="AH3" s="260"/>
      <c r="AI3" s="73"/>
      <c r="AJ3" s="73"/>
      <c r="AK3" s="74"/>
      <c r="AL3" s="74"/>
      <c r="AM3" s="74"/>
      <c r="AN3" s="113"/>
      <c r="AO3" s="76"/>
      <c r="AP3" s="76"/>
      <c r="AQ3" s="76"/>
      <c r="AR3" s="110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110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113"/>
      <c r="BR3" s="58"/>
      <c r="BS3" s="58"/>
      <c r="BT3" s="110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78"/>
      <c r="CM3" s="78"/>
      <c r="CN3" s="83"/>
      <c r="CO3" s="84" t="s">
        <v>5</v>
      </c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</row>
    <row r="4" spans="1:143" s="114" customFormat="1" ht="5.0999999999999996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115"/>
      <c r="L4" s="97"/>
      <c r="M4" s="97"/>
      <c r="N4" s="95"/>
      <c r="O4" s="95"/>
      <c r="P4" s="116"/>
      <c r="Q4" s="95"/>
      <c r="R4" s="99"/>
      <c r="S4" s="99"/>
      <c r="T4" s="99"/>
      <c r="U4" s="99"/>
      <c r="V4" s="99"/>
      <c r="W4" s="99"/>
      <c r="X4" s="99"/>
      <c r="Y4" s="99"/>
      <c r="Z4" s="100"/>
      <c r="AA4" s="115"/>
      <c r="AB4" s="101"/>
      <c r="AC4" s="101"/>
      <c r="AD4" s="101"/>
      <c r="AE4" s="101"/>
      <c r="AF4" s="101"/>
      <c r="AG4" s="101"/>
      <c r="AH4" s="101"/>
      <c r="AI4" s="101"/>
      <c r="AJ4" s="101"/>
      <c r="AK4" s="95"/>
      <c r="AL4" s="95"/>
      <c r="AM4" s="95"/>
      <c r="AN4" s="117"/>
      <c r="AO4" s="103"/>
      <c r="AP4" s="103"/>
      <c r="AQ4" s="103"/>
      <c r="AR4" s="116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  <c r="BF4" s="116"/>
      <c r="BG4" s="103"/>
      <c r="BH4" s="103"/>
      <c r="BI4" s="103"/>
      <c r="BJ4" s="103"/>
      <c r="BK4" s="103"/>
      <c r="BL4" s="103"/>
      <c r="BM4" s="103"/>
      <c r="BN4" s="103"/>
      <c r="BO4" s="103"/>
      <c r="BP4" s="103"/>
      <c r="BQ4" s="117"/>
      <c r="BR4" s="104"/>
      <c r="BS4" s="104"/>
      <c r="BT4" s="116"/>
      <c r="BU4" s="104"/>
      <c r="BV4" s="104"/>
      <c r="BW4" s="104"/>
      <c r="BX4" s="104"/>
      <c r="BY4" s="104"/>
      <c r="BZ4" s="104"/>
      <c r="CA4" s="104"/>
      <c r="CB4" s="104"/>
      <c r="CC4" s="104"/>
      <c r="CD4" s="104"/>
      <c r="CE4" s="104"/>
      <c r="CF4" s="104"/>
      <c r="CG4" s="104"/>
      <c r="CH4" s="104"/>
      <c r="CI4" s="104"/>
      <c r="CJ4" s="104"/>
      <c r="CK4" s="104"/>
      <c r="CL4" s="105"/>
      <c r="CM4" s="105"/>
      <c r="CN4" s="105"/>
      <c r="CO4" s="106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</row>
    <row r="5" spans="1:143" ht="15" customHeight="1" x14ac:dyDescent="0.25">
      <c r="A5" s="248"/>
      <c r="B5" s="43"/>
      <c r="C5" s="250" t="s">
        <v>33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P5" s="118"/>
      <c r="Q5" s="250" t="s">
        <v>93</v>
      </c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1"/>
      <c r="AC5" s="252"/>
      <c r="AD5" s="118"/>
      <c r="AE5" s="250" t="s">
        <v>37</v>
      </c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2"/>
      <c r="AR5" s="118"/>
      <c r="AS5" s="250" t="s">
        <v>39</v>
      </c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251"/>
      <c r="BE5" s="252"/>
      <c r="BF5" s="118"/>
      <c r="BG5" s="250" t="s">
        <v>40</v>
      </c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251"/>
      <c r="BS5" s="252"/>
      <c r="BT5" s="118"/>
      <c r="BU5" s="250" t="s">
        <v>41</v>
      </c>
      <c r="BV5" s="251"/>
      <c r="BW5" s="251"/>
      <c r="BX5" s="251"/>
      <c r="BY5" s="251"/>
      <c r="BZ5" s="251"/>
      <c r="CA5" s="251"/>
      <c r="CB5" s="251"/>
      <c r="CC5" s="251"/>
      <c r="CD5" s="251"/>
      <c r="CE5" s="251"/>
      <c r="CF5" s="251"/>
      <c r="CG5" s="252"/>
      <c r="CH5" s="71"/>
      <c r="CI5" s="248"/>
      <c r="CJ5" s="71"/>
      <c r="CK5" s="187" t="s">
        <v>43</v>
      </c>
      <c r="CL5" s="188"/>
      <c r="CM5" s="188"/>
      <c r="CN5" s="188"/>
      <c r="CO5" s="189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</row>
    <row r="6" spans="1:143" ht="15" customHeight="1" x14ac:dyDescent="0.2">
      <c r="A6" s="249"/>
      <c r="B6" s="90"/>
      <c r="C6" s="261">
        <v>42436</v>
      </c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3"/>
      <c r="P6" s="85"/>
      <c r="Q6" s="261">
        <v>42437</v>
      </c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262"/>
      <c r="AC6" s="263"/>
      <c r="AD6" s="85"/>
      <c r="AE6" s="261">
        <v>42438</v>
      </c>
      <c r="AF6" s="262"/>
      <c r="AG6" s="262"/>
      <c r="AH6" s="262"/>
      <c r="AI6" s="262"/>
      <c r="AJ6" s="262"/>
      <c r="AK6" s="262"/>
      <c r="AL6" s="262"/>
      <c r="AM6" s="262"/>
      <c r="AN6" s="262"/>
      <c r="AO6" s="262"/>
      <c r="AP6" s="262"/>
      <c r="AQ6" s="263"/>
      <c r="AR6" s="85"/>
      <c r="AS6" s="261">
        <v>42439</v>
      </c>
      <c r="AT6" s="262"/>
      <c r="AU6" s="262"/>
      <c r="AV6" s="262"/>
      <c r="AW6" s="262"/>
      <c r="AX6" s="262"/>
      <c r="AY6" s="262"/>
      <c r="AZ6" s="262"/>
      <c r="BA6" s="262"/>
      <c r="BB6" s="262"/>
      <c r="BC6" s="262"/>
      <c r="BD6" s="262"/>
      <c r="BE6" s="263"/>
      <c r="BF6" s="85"/>
      <c r="BG6" s="261">
        <v>42440</v>
      </c>
      <c r="BH6" s="262"/>
      <c r="BI6" s="262"/>
      <c r="BJ6" s="262"/>
      <c r="BK6" s="262"/>
      <c r="BL6" s="262"/>
      <c r="BM6" s="262"/>
      <c r="BN6" s="262"/>
      <c r="BO6" s="262"/>
      <c r="BP6" s="262"/>
      <c r="BQ6" s="262"/>
      <c r="BR6" s="262"/>
      <c r="BS6" s="263"/>
      <c r="BT6" s="85"/>
      <c r="BU6" s="261">
        <v>42441</v>
      </c>
      <c r="BV6" s="262"/>
      <c r="BW6" s="262"/>
      <c r="BX6" s="262"/>
      <c r="BY6" s="262"/>
      <c r="BZ6" s="262"/>
      <c r="CA6" s="262"/>
      <c r="CB6" s="262"/>
      <c r="CC6" s="262"/>
      <c r="CD6" s="262"/>
      <c r="CE6" s="262"/>
      <c r="CF6" s="262"/>
      <c r="CG6" s="263"/>
      <c r="CH6" s="58"/>
      <c r="CI6" s="249"/>
      <c r="CJ6" s="58"/>
      <c r="CK6" s="190"/>
      <c r="CL6" s="191"/>
      <c r="CM6" s="191"/>
      <c r="CN6" s="191"/>
      <c r="CO6" s="19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</row>
    <row r="7" spans="1:143" ht="70.5" customHeight="1" x14ac:dyDescent="0.2">
      <c r="A7" s="39" t="s">
        <v>38</v>
      </c>
      <c r="B7" s="90"/>
      <c r="C7" s="240" t="s">
        <v>28</v>
      </c>
      <c r="D7" s="241"/>
      <c r="E7" s="242" t="s">
        <v>29</v>
      </c>
      <c r="F7" s="241"/>
      <c r="G7" s="243" t="s">
        <v>73</v>
      </c>
      <c r="H7" s="241"/>
      <c r="I7" s="242" t="s">
        <v>31</v>
      </c>
      <c r="J7" s="241"/>
      <c r="K7" s="242" t="s">
        <v>32</v>
      </c>
      <c r="L7" s="241"/>
      <c r="M7" s="343" t="s">
        <v>72</v>
      </c>
      <c r="N7" s="344"/>
      <c r="O7" s="42" t="s">
        <v>1</v>
      </c>
      <c r="P7" s="85"/>
      <c r="Q7" s="240" t="s">
        <v>28</v>
      </c>
      <c r="R7" s="241"/>
      <c r="S7" s="242" t="s">
        <v>29</v>
      </c>
      <c r="T7" s="241"/>
      <c r="U7" s="243" t="s">
        <v>73</v>
      </c>
      <c r="V7" s="241"/>
      <c r="W7" s="242" t="s">
        <v>31</v>
      </c>
      <c r="X7" s="241"/>
      <c r="Y7" s="343" t="s">
        <v>72</v>
      </c>
      <c r="Z7" s="344"/>
      <c r="AA7" s="343" t="s">
        <v>74</v>
      </c>
      <c r="AB7" s="344"/>
      <c r="AC7" s="42" t="s">
        <v>1</v>
      </c>
      <c r="AD7" s="85"/>
      <c r="AE7" s="240" t="s">
        <v>28</v>
      </c>
      <c r="AF7" s="241"/>
      <c r="AG7" s="242" t="s">
        <v>29</v>
      </c>
      <c r="AH7" s="241"/>
      <c r="AI7" s="243" t="s">
        <v>73</v>
      </c>
      <c r="AJ7" s="241"/>
      <c r="AK7" s="242" t="s">
        <v>31</v>
      </c>
      <c r="AL7" s="241"/>
      <c r="AM7" s="343" t="s">
        <v>72</v>
      </c>
      <c r="AN7" s="344"/>
      <c r="AO7" s="243" t="s">
        <v>74</v>
      </c>
      <c r="AP7" s="241"/>
      <c r="AQ7" s="42" t="s">
        <v>1</v>
      </c>
      <c r="AR7" s="85"/>
      <c r="AS7" s="240" t="s">
        <v>28</v>
      </c>
      <c r="AT7" s="241"/>
      <c r="AU7" s="242" t="s">
        <v>29</v>
      </c>
      <c r="AV7" s="241"/>
      <c r="AW7" s="243" t="s">
        <v>73</v>
      </c>
      <c r="AX7" s="241"/>
      <c r="AY7" s="242" t="s">
        <v>31</v>
      </c>
      <c r="AZ7" s="241"/>
      <c r="BA7" s="343" t="s">
        <v>72</v>
      </c>
      <c r="BB7" s="344"/>
      <c r="BC7" s="243" t="s">
        <v>74</v>
      </c>
      <c r="BD7" s="241"/>
      <c r="BE7" s="42" t="s">
        <v>1</v>
      </c>
      <c r="BF7" s="85"/>
      <c r="BG7" s="240" t="s">
        <v>28</v>
      </c>
      <c r="BH7" s="241"/>
      <c r="BI7" s="243" t="s">
        <v>73</v>
      </c>
      <c r="BJ7" s="241"/>
      <c r="BK7" s="242" t="s">
        <v>30</v>
      </c>
      <c r="BL7" s="241"/>
      <c r="BM7" s="242" t="s">
        <v>31</v>
      </c>
      <c r="BN7" s="241"/>
      <c r="BO7" s="343" t="s">
        <v>72</v>
      </c>
      <c r="BP7" s="344"/>
      <c r="BQ7" s="243" t="s">
        <v>74</v>
      </c>
      <c r="BR7" s="241"/>
      <c r="BS7" s="42" t="s">
        <v>1</v>
      </c>
      <c r="BT7" s="85"/>
      <c r="BU7" s="240" t="s">
        <v>28</v>
      </c>
      <c r="BV7" s="241"/>
      <c r="BW7" s="242" t="s">
        <v>29</v>
      </c>
      <c r="BX7" s="241"/>
      <c r="BY7" s="243" t="s">
        <v>73</v>
      </c>
      <c r="BZ7" s="241"/>
      <c r="CA7" s="242" t="s">
        <v>31</v>
      </c>
      <c r="CB7" s="241"/>
      <c r="CC7" s="343" t="s">
        <v>72</v>
      </c>
      <c r="CD7" s="344"/>
      <c r="CE7" s="243" t="s">
        <v>74</v>
      </c>
      <c r="CF7" s="241"/>
      <c r="CG7" s="42" t="s">
        <v>1</v>
      </c>
      <c r="CH7" s="58"/>
      <c r="CI7" s="107" t="s">
        <v>38</v>
      </c>
      <c r="CJ7" s="58"/>
      <c r="CK7" s="301" t="s">
        <v>80</v>
      </c>
      <c r="CL7" s="302"/>
      <c r="CM7" s="302"/>
      <c r="CN7" s="302"/>
      <c r="CO7" s="303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</row>
    <row r="8" spans="1:143" s="119" customFormat="1" ht="11.45" customHeight="1" x14ac:dyDescent="0.2">
      <c r="A8" s="182">
        <v>600</v>
      </c>
      <c r="B8" s="44"/>
      <c r="C8" s="5"/>
      <c r="D8" s="6"/>
      <c r="E8" s="6"/>
      <c r="F8" s="7"/>
      <c r="G8" s="8"/>
      <c r="H8" s="8"/>
      <c r="I8" s="8"/>
      <c r="J8" s="8"/>
      <c r="K8" s="8"/>
      <c r="L8" s="9"/>
      <c r="M8" s="9"/>
      <c r="N8" s="10"/>
      <c r="O8" s="11"/>
      <c r="P8" s="85"/>
      <c r="Q8" s="5"/>
      <c r="R8" s="6"/>
      <c r="S8" s="6"/>
      <c r="T8" s="6"/>
      <c r="U8" s="6"/>
      <c r="V8" s="6"/>
      <c r="W8" s="6"/>
      <c r="X8" s="7"/>
      <c r="Y8" s="8"/>
      <c r="Z8" s="8"/>
      <c r="AA8" s="9"/>
      <c r="AB8" s="10"/>
      <c r="AC8" s="11"/>
      <c r="AD8" s="85"/>
      <c r="AE8" s="5"/>
      <c r="AF8" s="6"/>
      <c r="AG8" s="6"/>
      <c r="AH8" s="6"/>
      <c r="AI8" s="6"/>
      <c r="AJ8" s="6"/>
      <c r="AK8" s="6"/>
      <c r="AL8" s="6"/>
      <c r="AM8" s="7"/>
      <c r="AN8" s="8"/>
      <c r="AO8" s="9"/>
      <c r="AP8" s="10"/>
      <c r="AQ8" s="11"/>
      <c r="AR8" s="85"/>
      <c r="AS8" s="5"/>
      <c r="AT8" s="6"/>
      <c r="AU8" s="6"/>
      <c r="AV8" s="6"/>
      <c r="AW8" s="6"/>
      <c r="AX8" s="6"/>
      <c r="AY8" s="6"/>
      <c r="AZ8" s="7"/>
      <c r="BA8" s="8"/>
      <c r="BB8" s="8"/>
      <c r="BC8" s="9"/>
      <c r="BD8" s="10"/>
      <c r="BE8" s="11"/>
      <c r="BF8" s="85"/>
      <c r="BG8" s="5"/>
      <c r="BH8" s="6"/>
      <c r="BI8" s="6"/>
      <c r="BJ8" s="6"/>
      <c r="BK8" s="6"/>
      <c r="BL8" s="6"/>
      <c r="BM8" s="6"/>
      <c r="BN8" s="6"/>
      <c r="BO8" s="7"/>
      <c r="BP8" s="8"/>
      <c r="BQ8" s="9"/>
      <c r="BR8" s="10"/>
      <c r="BS8" s="11"/>
      <c r="BT8" s="85"/>
      <c r="BU8" s="5"/>
      <c r="BV8" s="6"/>
      <c r="BW8" s="6"/>
      <c r="BX8" s="6"/>
      <c r="BY8" s="6"/>
      <c r="BZ8" s="6"/>
      <c r="CA8" s="6"/>
      <c r="CB8" s="7"/>
      <c r="CC8" s="8"/>
      <c r="CD8" s="8"/>
      <c r="CE8" s="9"/>
      <c r="CF8" s="10"/>
      <c r="CG8" s="11"/>
      <c r="CH8" s="61"/>
      <c r="CI8" s="182">
        <v>600</v>
      </c>
      <c r="CJ8" s="52"/>
      <c r="CK8" s="270" t="s">
        <v>70</v>
      </c>
      <c r="CL8" s="271"/>
      <c r="CM8" s="271"/>
      <c r="CN8" s="271"/>
      <c r="CO8" s="272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</row>
    <row r="9" spans="1:143" s="119" customFormat="1" ht="11.45" customHeight="1" x14ac:dyDescent="0.2">
      <c r="A9" s="182"/>
      <c r="B9" s="44"/>
      <c r="C9" s="12"/>
      <c r="D9" s="13"/>
      <c r="E9" s="13"/>
      <c r="F9" s="14"/>
      <c r="G9" s="14"/>
      <c r="H9" s="14"/>
      <c r="I9" s="14"/>
      <c r="J9" s="14"/>
      <c r="K9" s="14"/>
      <c r="L9" s="14"/>
      <c r="M9" s="14"/>
      <c r="N9" s="14"/>
      <c r="O9" s="15"/>
      <c r="P9" s="85"/>
      <c r="Q9" s="12"/>
      <c r="R9" s="13"/>
      <c r="S9" s="13"/>
      <c r="T9" s="13"/>
      <c r="U9" s="13"/>
      <c r="V9" s="13"/>
      <c r="W9" s="13"/>
      <c r="X9" s="14"/>
      <c r="Y9" s="14"/>
      <c r="Z9" s="14"/>
      <c r="AA9" s="14"/>
      <c r="AB9" s="14"/>
      <c r="AC9" s="15"/>
      <c r="AD9" s="85"/>
      <c r="AE9" s="12"/>
      <c r="AF9" s="13"/>
      <c r="AG9" s="13"/>
      <c r="AH9" s="13"/>
      <c r="AI9" s="13"/>
      <c r="AJ9" s="13"/>
      <c r="AK9" s="13"/>
      <c r="AL9" s="13"/>
      <c r="AM9" s="14"/>
      <c r="AN9" s="14"/>
      <c r="AO9" s="14"/>
      <c r="AP9" s="14"/>
      <c r="AQ9" s="15"/>
      <c r="AR9" s="85"/>
      <c r="AS9" s="12"/>
      <c r="AT9" s="13"/>
      <c r="AU9" s="13"/>
      <c r="AV9" s="13"/>
      <c r="AW9" s="13"/>
      <c r="AX9" s="13"/>
      <c r="AY9" s="13"/>
      <c r="AZ9" s="14"/>
      <c r="BA9" s="14"/>
      <c r="BB9" s="14"/>
      <c r="BC9" s="14"/>
      <c r="BD9" s="14"/>
      <c r="BE9" s="15"/>
      <c r="BF9" s="85"/>
      <c r="BG9" s="12"/>
      <c r="BH9" s="13"/>
      <c r="BI9" s="13"/>
      <c r="BJ9" s="13"/>
      <c r="BK9" s="13"/>
      <c r="BL9" s="13"/>
      <c r="BM9" s="13"/>
      <c r="BN9" s="13"/>
      <c r="BO9" s="14"/>
      <c r="BP9" s="14"/>
      <c r="BQ9" s="14"/>
      <c r="BR9" s="14"/>
      <c r="BS9" s="15"/>
      <c r="BT9" s="85"/>
      <c r="BU9" s="12"/>
      <c r="BV9" s="13"/>
      <c r="BW9" s="13"/>
      <c r="BX9" s="13"/>
      <c r="BY9" s="13"/>
      <c r="BZ9" s="13"/>
      <c r="CA9" s="13"/>
      <c r="CB9" s="14"/>
      <c r="CC9" s="14"/>
      <c r="CD9" s="14"/>
      <c r="CE9" s="14"/>
      <c r="CF9" s="14"/>
      <c r="CG9" s="15"/>
      <c r="CH9" s="61"/>
      <c r="CI9" s="182"/>
      <c r="CJ9" s="52"/>
      <c r="CK9" s="273"/>
      <c r="CL9" s="274"/>
      <c r="CM9" s="274"/>
      <c r="CN9" s="274"/>
      <c r="CO9" s="275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</row>
    <row r="10" spans="1:143" s="119" customFormat="1" ht="11.45" customHeight="1" x14ac:dyDescent="0.2">
      <c r="A10" s="182"/>
      <c r="B10" s="44"/>
      <c r="C10" s="5"/>
      <c r="D10" s="6"/>
      <c r="E10" s="6"/>
      <c r="F10" s="7"/>
      <c r="G10" s="8"/>
      <c r="H10" s="8"/>
      <c r="I10" s="8"/>
      <c r="J10" s="8"/>
      <c r="K10" s="8"/>
      <c r="L10" s="9"/>
      <c r="M10" s="9"/>
      <c r="N10" s="10"/>
      <c r="O10" s="11"/>
      <c r="P10" s="85"/>
      <c r="Q10" s="5"/>
      <c r="R10" s="6"/>
      <c r="S10" s="6"/>
      <c r="T10" s="6"/>
      <c r="U10" s="6"/>
      <c r="V10" s="6"/>
      <c r="W10" s="6"/>
      <c r="X10" s="7"/>
      <c r="Y10" s="8"/>
      <c r="Z10" s="8"/>
      <c r="AA10" s="9"/>
      <c r="AB10" s="10"/>
      <c r="AC10" s="11"/>
      <c r="AD10" s="85"/>
      <c r="AE10" s="5"/>
      <c r="AF10" s="6"/>
      <c r="AG10" s="6"/>
      <c r="AH10" s="6"/>
      <c r="AI10" s="6"/>
      <c r="AJ10" s="6"/>
      <c r="AK10" s="6"/>
      <c r="AL10" s="6"/>
      <c r="AM10" s="7"/>
      <c r="AN10" s="8"/>
      <c r="AO10" s="9"/>
      <c r="AP10" s="10"/>
      <c r="AQ10" s="11"/>
      <c r="AR10" s="85"/>
      <c r="AS10" s="5"/>
      <c r="AT10" s="6"/>
      <c r="AU10" s="6"/>
      <c r="AV10" s="6"/>
      <c r="AW10" s="6"/>
      <c r="AX10" s="6"/>
      <c r="AY10" s="6"/>
      <c r="AZ10" s="7"/>
      <c r="BA10" s="8"/>
      <c r="BB10" s="8"/>
      <c r="BC10" s="9"/>
      <c r="BD10" s="10"/>
      <c r="BE10" s="11"/>
      <c r="BF10" s="85"/>
      <c r="BG10" s="5"/>
      <c r="BH10" s="6"/>
      <c r="BI10" s="6"/>
      <c r="BJ10" s="6"/>
      <c r="BK10" s="6"/>
      <c r="BL10" s="6"/>
      <c r="BM10" s="6"/>
      <c r="BN10" s="6"/>
      <c r="BO10" s="7"/>
      <c r="BP10" s="8"/>
      <c r="BQ10" s="9"/>
      <c r="BR10" s="10"/>
      <c r="BS10" s="11"/>
      <c r="BT10" s="85"/>
      <c r="BU10" s="5"/>
      <c r="BV10" s="6"/>
      <c r="BW10" s="6"/>
      <c r="BX10" s="6"/>
      <c r="BY10" s="6"/>
      <c r="BZ10" s="6"/>
      <c r="CA10" s="6"/>
      <c r="CB10" s="7"/>
      <c r="CC10" s="8"/>
      <c r="CD10" s="8"/>
      <c r="CE10" s="9"/>
      <c r="CF10" s="10"/>
      <c r="CG10" s="11"/>
      <c r="CH10" s="61"/>
      <c r="CI10" s="182"/>
      <c r="CJ10" s="52"/>
      <c r="CK10" s="273"/>
      <c r="CL10" s="274"/>
      <c r="CM10" s="274"/>
      <c r="CN10" s="274"/>
      <c r="CO10" s="275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</row>
    <row r="11" spans="1:143" s="119" customFormat="1" ht="11.45" customHeight="1" x14ac:dyDescent="0.2">
      <c r="A11" s="182"/>
      <c r="B11" s="44"/>
      <c r="C11" s="12"/>
      <c r="D11" s="13"/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85"/>
      <c r="Q11" s="12"/>
      <c r="R11" s="13"/>
      <c r="S11" s="13"/>
      <c r="T11" s="13"/>
      <c r="U11" s="13"/>
      <c r="V11" s="13"/>
      <c r="W11" s="13"/>
      <c r="X11" s="14"/>
      <c r="Y11" s="14"/>
      <c r="Z11" s="14"/>
      <c r="AA11" s="14"/>
      <c r="AB11" s="14"/>
      <c r="AC11" s="15"/>
      <c r="AD11" s="85"/>
      <c r="AE11" s="12"/>
      <c r="AF11" s="13"/>
      <c r="AG11" s="13"/>
      <c r="AH11" s="13"/>
      <c r="AI11" s="13"/>
      <c r="AJ11" s="13"/>
      <c r="AK11" s="13"/>
      <c r="AL11" s="13"/>
      <c r="AM11" s="14"/>
      <c r="AN11" s="14"/>
      <c r="AO11" s="14"/>
      <c r="AP11" s="14"/>
      <c r="AQ11" s="15"/>
      <c r="AR11" s="85"/>
      <c r="AS11" s="12"/>
      <c r="AT11" s="13"/>
      <c r="AU11" s="13"/>
      <c r="AV11" s="13"/>
      <c r="AW11" s="13"/>
      <c r="AX11" s="13"/>
      <c r="AY11" s="13"/>
      <c r="AZ11" s="14"/>
      <c r="BA11" s="14"/>
      <c r="BB11" s="14"/>
      <c r="BC11" s="14"/>
      <c r="BD11" s="14"/>
      <c r="BE11" s="15"/>
      <c r="BF11" s="85"/>
      <c r="BG11" s="12"/>
      <c r="BH11" s="13"/>
      <c r="BI11" s="13"/>
      <c r="BJ11" s="13"/>
      <c r="BK11" s="13"/>
      <c r="BL11" s="13"/>
      <c r="BM11" s="13"/>
      <c r="BN11" s="13"/>
      <c r="BO11" s="14"/>
      <c r="BP11" s="14"/>
      <c r="BQ11" s="14"/>
      <c r="BR11" s="14"/>
      <c r="BS11" s="15"/>
      <c r="BT11" s="85"/>
      <c r="BU11" s="12"/>
      <c r="BV11" s="13"/>
      <c r="BW11" s="13"/>
      <c r="BX11" s="13"/>
      <c r="BY11" s="13"/>
      <c r="BZ11" s="13"/>
      <c r="CA11" s="13"/>
      <c r="CB11" s="14"/>
      <c r="CC11" s="14"/>
      <c r="CD11" s="14"/>
      <c r="CE11" s="14"/>
      <c r="CF11" s="14"/>
      <c r="CG11" s="15"/>
      <c r="CH11" s="61"/>
      <c r="CI11" s="182"/>
      <c r="CJ11" s="52"/>
      <c r="CK11" s="276"/>
      <c r="CL11" s="277"/>
      <c r="CM11" s="277"/>
      <c r="CN11" s="277"/>
      <c r="CO11" s="278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1:143" s="119" customFormat="1" ht="11.45" customHeight="1" x14ac:dyDescent="0.2">
      <c r="A12" s="182">
        <v>700</v>
      </c>
      <c r="B12" s="44"/>
      <c r="C12" s="5"/>
      <c r="D12" s="9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85"/>
      <c r="Q12" s="5"/>
      <c r="R12" s="9"/>
      <c r="S12" s="9"/>
      <c r="T12" s="9"/>
      <c r="U12" s="9"/>
      <c r="V12" s="9"/>
      <c r="W12" s="9"/>
      <c r="X12" s="10"/>
      <c r="Y12" s="10"/>
      <c r="Z12" s="10"/>
      <c r="AA12" s="10"/>
      <c r="AB12" s="10"/>
      <c r="AC12" s="11"/>
      <c r="AD12" s="85"/>
      <c r="AE12" s="5"/>
      <c r="AF12" s="9"/>
      <c r="AG12" s="9"/>
      <c r="AH12" s="9"/>
      <c r="AI12" s="9"/>
      <c r="AJ12" s="9"/>
      <c r="AK12" s="9"/>
      <c r="AL12" s="9"/>
      <c r="AM12" s="10"/>
      <c r="AN12" s="10"/>
      <c r="AO12" s="10"/>
      <c r="AP12" s="10"/>
      <c r="AQ12" s="11"/>
      <c r="AR12" s="85"/>
      <c r="AS12" s="5"/>
      <c r="AT12" s="9"/>
      <c r="AU12" s="9"/>
      <c r="AV12" s="9"/>
      <c r="AW12" s="9"/>
      <c r="AX12" s="9"/>
      <c r="AY12" s="9"/>
      <c r="AZ12" s="10"/>
      <c r="BA12" s="10"/>
      <c r="BB12" s="10"/>
      <c r="BC12" s="10"/>
      <c r="BD12" s="10"/>
      <c r="BE12" s="11"/>
      <c r="BF12" s="85"/>
      <c r="BG12" s="5"/>
      <c r="BH12" s="9"/>
      <c r="BI12" s="9"/>
      <c r="BJ12" s="9"/>
      <c r="BK12" s="9"/>
      <c r="BL12" s="9"/>
      <c r="BM12" s="9"/>
      <c r="BN12" s="9"/>
      <c r="BO12" s="10"/>
      <c r="BP12" s="10"/>
      <c r="BQ12" s="10"/>
      <c r="BR12" s="10"/>
      <c r="BS12" s="11"/>
      <c r="BT12" s="85"/>
      <c r="BU12" s="5"/>
      <c r="BV12" s="9"/>
      <c r="BW12" s="9"/>
      <c r="BX12" s="9"/>
      <c r="BY12" s="9"/>
      <c r="BZ12" s="9"/>
      <c r="CA12" s="9"/>
      <c r="CB12" s="10"/>
      <c r="CC12" s="10"/>
      <c r="CD12" s="10"/>
      <c r="CE12" s="10"/>
      <c r="CF12" s="10"/>
      <c r="CG12" s="11"/>
      <c r="CH12" s="61"/>
      <c r="CI12" s="182">
        <v>700</v>
      </c>
      <c r="CJ12" s="52"/>
      <c r="CK12" s="270" t="s">
        <v>71</v>
      </c>
      <c r="CL12" s="271"/>
      <c r="CM12" s="271"/>
      <c r="CN12" s="271"/>
      <c r="CO12" s="272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 s="119" customFormat="1" ht="11.45" customHeight="1" x14ac:dyDescent="0.2">
      <c r="A13" s="182"/>
      <c r="B13" s="44"/>
      <c r="C13" s="16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4"/>
      <c r="O13" s="15"/>
      <c r="P13" s="85"/>
      <c r="Q13" s="12"/>
      <c r="R13" s="17"/>
      <c r="S13" s="17"/>
      <c r="T13" s="17"/>
      <c r="U13" s="17"/>
      <c r="V13" s="17"/>
      <c r="W13" s="17"/>
      <c r="X13" s="18"/>
      <c r="Y13" s="18"/>
      <c r="Z13" s="18"/>
      <c r="AA13" s="18"/>
      <c r="AB13" s="14"/>
      <c r="AC13" s="15"/>
      <c r="AD13" s="85"/>
      <c r="AE13" s="12"/>
      <c r="AF13" s="17"/>
      <c r="AG13" s="17"/>
      <c r="AH13" s="17"/>
      <c r="AI13" s="17"/>
      <c r="AJ13" s="17"/>
      <c r="AK13" s="17"/>
      <c r="AL13" s="17"/>
      <c r="AM13" s="18"/>
      <c r="AN13" s="18"/>
      <c r="AO13" s="18"/>
      <c r="AP13" s="18"/>
      <c r="AQ13" s="15"/>
      <c r="AR13" s="85"/>
      <c r="AS13" s="16"/>
      <c r="AT13" s="17"/>
      <c r="AU13" s="17"/>
      <c r="AV13" s="17"/>
      <c r="AW13" s="17"/>
      <c r="AX13" s="17"/>
      <c r="AY13" s="17"/>
      <c r="AZ13" s="18"/>
      <c r="BA13" s="18"/>
      <c r="BB13" s="18"/>
      <c r="BC13" s="18"/>
      <c r="BD13" s="18"/>
      <c r="BE13" s="15"/>
      <c r="BF13" s="85"/>
      <c r="BG13" s="16"/>
      <c r="BH13" s="17"/>
      <c r="BI13" s="17"/>
      <c r="BJ13" s="17"/>
      <c r="BK13" s="17"/>
      <c r="BL13" s="17"/>
      <c r="BM13" s="17"/>
      <c r="BN13" s="17"/>
      <c r="BO13" s="18"/>
      <c r="BP13" s="18"/>
      <c r="BQ13" s="18"/>
      <c r="BR13" s="18"/>
      <c r="BS13" s="15"/>
      <c r="BT13" s="85"/>
      <c r="BU13" s="16"/>
      <c r="BV13" s="17"/>
      <c r="BW13" s="17"/>
      <c r="BX13" s="17"/>
      <c r="BY13" s="17"/>
      <c r="BZ13" s="17"/>
      <c r="CA13" s="17"/>
      <c r="CB13" s="18"/>
      <c r="CC13" s="18"/>
      <c r="CD13" s="18"/>
      <c r="CE13" s="18"/>
      <c r="CF13" s="18"/>
      <c r="CG13" s="15"/>
      <c r="CH13" s="61"/>
      <c r="CI13" s="182"/>
      <c r="CJ13" s="52"/>
      <c r="CK13" s="273"/>
      <c r="CL13" s="274"/>
      <c r="CM13" s="274"/>
      <c r="CN13" s="274"/>
      <c r="CO13" s="275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 s="119" customFormat="1" ht="11.45" customHeight="1" x14ac:dyDescent="0.2">
      <c r="A14" s="182"/>
      <c r="B14" s="44"/>
      <c r="C14" s="19"/>
      <c r="D14" s="20"/>
      <c r="E14" s="20"/>
      <c r="F14" s="21"/>
      <c r="G14" s="21"/>
      <c r="H14" s="21"/>
      <c r="I14" s="21"/>
      <c r="J14" s="21"/>
      <c r="K14" s="21"/>
      <c r="L14" s="21"/>
      <c r="M14" s="21"/>
      <c r="N14" s="10"/>
      <c r="O14" s="11"/>
      <c r="P14" s="85"/>
      <c r="Q14" s="5"/>
      <c r="R14" s="20"/>
      <c r="S14" s="9"/>
      <c r="T14" s="9"/>
      <c r="U14" s="9"/>
      <c r="V14" s="9"/>
      <c r="W14" s="9"/>
      <c r="X14" s="10"/>
      <c r="Y14" s="10"/>
      <c r="Z14" s="10"/>
      <c r="AA14" s="10"/>
      <c r="AB14" s="10"/>
      <c r="AC14" s="11"/>
      <c r="AD14" s="85"/>
      <c r="AE14" s="5"/>
      <c r="AF14" s="20"/>
      <c r="AG14" s="20"/>
      <c r="AH14" s="20"/>
      <c r="AI14" s="20"/>
      <c r="AJ14" s="20"/>
      <c r="AK14" s="20"/>
      <c r="AL14" s="20"/>
      <c r="AM14" s="21"/>
      <c r="AN14" s="21"/>
      <c r="AO14" s="21"/>
      <c r="AP14" s="21"/>
      <c r="AQ14" s="11"/>
      <c r="AR14" s="85"/>
      <c r="AS14" s="19"/>
      <c r="AT14" s="20"/>
      <c r="AU14" s="20"/>
      <c r="AV14" s="20"/>
      <c r="AW14" s="20"/>
      <c r="AX14" s="20"/>
      <c r="AY14" s="20"/>
      <c r="AZ14" s="21"/>
      <c r="BA14" s="21"/>
      <c r="BB14" s="21"/>
      <c r="BC14" s="21"/>
      <c r="BD14" s="21"/>
      <c r="BE14" s="11"/>
      <c r="BF14" s="85"/>
      <c r="BG14" s="19"/>
      <c r="BH14" s="20"/>
      <c r="BI14" s="20"/>
      <c r="BJ14" s="20"/>
      <c r="BK14" s="20"/>
      <c r="BL14" s="20"/>
      <c r="BM14" s="20"/>
      <c r="BN14" s="20"/>
      <c r="BO14" s="21"/>
      <c r="BP14" s="21"/>
      <c r="BQ14" s="21"/>
      <c r="BR14" s="21"/>
      <c r="BS14" s="11"/>
      <c r="BT14" s="85"/>
      <c r="BU14" s="19"/>
      <c r="BV14" s="20"/>
      <c r="BW14" s="20"/>
      <c r="BX14" s="20"/>
      <c r="BY14" s="20"/>
      <c r="BZ14" s="20"/>
      <c r="CA14" s="20"/>
      <c r="CB14" s="21"/>
      <c r="CC14" s="21"/>
      <c r="CD14" s="21"/>
      <c r="CE14" s="21"/>
      <c r="CF14" s="21"/>
      <c r="CG14" s="11"/>
      <c r="CH14" s="61"/>
      <c r="CI14" s="182"/>
      <c r="CJ14" s="52"/>
      <c r="CK14" s="273"/>
      <c r="CL14" s="274"/>
      <c r="CM14" s="274"/>
      <c r="CN14" s="274"/>
      <c r="CO14" s="275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 s="119" customFormat="1" ht="11.45" customHeight="1" x14ac:dyDescent="0.2">
      <c r="A15" s="182"/>
      <c r="B15" s="44"/>
      <c r="C15" s="16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4"/>
      <c r="O15" s="15"/>
      <c r="P15" s="85"/>
      <c r="Q15" s="12"/>
      <c r="R15" s="17"/>
      <c r="S15" s="13"/>
      <c r="T15" s="13"/>
      <c r="U15" s="13"/>
      <c r="V15" s="13"/>
      <c r="W15" s="13"/>
      <c r="X15" s="14"/>
      <c r="Y15" s="14"/>
      <c r="Z15" s="14"/>
      <c r="AA15" s="18"/>
      <c r="AB15" s="14"/>
      <c r="AC15" s="15"/>
      <c r="AD15" s="85"/>
      <c r="AE15" s="12"/>
      <c r="AF15" s="17"/>
      <c r="AG15" s="17"/>
      <c r="AH15" s="17"/>
      <c r="AI15" s="17"/>
      <c r="AJ15" s="17"/>
      <c r="AK15" s="17"/>
      <c r="AL15" s="17"/>
      <c r="AM15" s="18"/>
      <c r="AN15" s="18"/>
      <c r="AO15" s="18"/>
      <c r="AP15" s="18"/>
      <c r="AQ15" s="15"/>
      <c r="AR15" s="85"/>
      <c r="AS15" s="16"/>
      <c r="AT15" s="17"/>
      <c r="AU15" s="17"/>
      <c r="AV15" s="17"/>
      <c r="AW15" s="17"/>
      <c r="AX15" s="17"/>
      <c r="AY15" s="17"/>
      <c r="AZ15" s="18"/>
      <c r="BA15" s="18"/>
      <c r="BB15" s="18"/>
      <c r="BC15" s="18"/>
      <c r="BD15" s="18"/>
      <c r="BE15" s="15"/>
      <c r="BF15" s="85"/>
      <c r="BG15" s="16"/>
      <c r="BH15" s="17"/>
      <c r="BI15" s="17"/>
      <c r="BJ15" s="17"/>
      <c r="BK15" s="17"/>
      <c r="BL15" s="17"/>
      <c r="BM15" s="17"/>
      <c r="BN15" s="17"/>
      <c r="BO15" s="18"/>
      <c r="BP15" s="18"/>
      <c r="BQ15" s="18"/>
      <c r="BR15" s="18"/>
      <c r="BS15" s="15"/>
      <c r="BT15" s="85"/>
      <c r="BU15" s="16"/>
      <c r="BV15" s="17"/>
      <c r="BW15" s="17"/>
      <c r="BX15" s="17"/>
      <c r="BY15" s="17"/>
      <c r="BZ15" s="17"/>
      <c r="CA15" s="17"/>
      <c r="CB15" s="18"/>
      <c r="CC15" s="18"/>
      <c r="CD15" s="18"/>
      <c r="CE15" s="18"/>
      <c r="CF15" s="18"/>
      <c r="CG15" s="15"/>
      <c r="CH15" s="61"/>
      <c r="CI15" s="182"/>
      <c r="CJ15" s="52"/>
      <c r="CK15" s="276"/>
      <c r="CL15" s="277"/>
      <c r="CM15" s="277"/>
      <c r="CN15" s="277"/>
      <c r="CO15" s="278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 s="119" customFormat="1" ht="11.45" customHeight="1" x14ac:dyDescent="0.2">
      <c r="A16" s="182">
        <v>800</v>
      </c>
      <c r="B16" s="44"/>
      <c r="C16" s="5"/>
      <c r="D16" s="9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85"/>
      <c r="Q16" s="5"/>
      <c r="R16" s="6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  <c r="AD16" s="85"/>
      <c r="AE16" s="5"/>
      <c r="AF16" s="9"/>
      <c r="AG16" s="9"/>
      <c r="AH16" s="9"/>
      <c r="AI16" s="9"/>
      <c r="AJ16" s="9"/>
      <c r="AK16" s="9"/>
      <c r="AL16" s="9"/>
      <c r="AM16" s="10"/>
      <c r="AN16" s="10"/>
      <c r="AO16" s="10"/>
      <c r="AP16" s="10"/>
      <c r="AQ16" s="11"/>
      <c r="AR16" s="85"/>
      <c r="AS16" s="5"/>
      <c r="AT16" s="9"/>
      <c r="AU16" s="9"/>
      <c r="AV16" s="9"/>
      <c r="AW16" s="9"/>
      <c r="AX16" s="9"/>
      <c r="AY16" s="9"/>
      <c r="AZ16" s="10"/>
      <c r="BA16" s="10"/>
      <c r="BB16" s="10"/>
      <c r="BC16" s="10"/>
      <c r="BD16" s="10"/>
      <c r="BE16" s="11"/>
      <c r="BF16" s="85"/>
      <c r="BG16" s="5"/>
      <c r="BH16" s="9"/>
      <c r="BI16" s="120"/>
      <c r="BJ16" s="9"/>
      <c r="BK16" s="9"/>
      <c r="BL16" s="9"/>
      <c r="BM16" s="9"/>
      <c r="BN16" s="9"/>
      <c r="BO16" s="10"/>
      <c r="BP16" s="10"/>
      <c r="BQ16" s="10"/>
      <c r="BR16" s="10"/>
      <c r="BS16" s="11"/>
      <c r="BT16" s="85"/>
      <c r="BU16" s="5"/>
      <c r="BV16" s="9"/>
      <c r="BW16" s="9"/>
      <c r="BX16" s="9"/>
      <c r="BY16" s="9"/>
      <c r="BZ16" s="9"/>
      <c r="CA16" s="9"/>
      <c r="CB16" s="10"/>
      <c r="CC16" s="10"/>
      <c r="CD16" s="10"/>
      <c r="CE16" s="10"/>
      <c r="CF16" s="10"/>
      <c r="CG16" s="11"/>
      <c r="CH16" s="61"/>
      <c r="CI16" s="182">
        <v>800</v>
      </c>
      <c r="CJ16" s="52"/>
      <c r="CK16" s="187" t="s">
        <v>44</v>
      </c>
      <c r="CL16" s="188"/>
      <c r="CM16" s="188"/>
      <c r="CN16" s="188"/>
      <c r="CO16" s="189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1:143" s="119" customFormat="1" ht="11.45" customHeight="1" x14ac:dyDescent="0.2">
      <c r="A17" s="182"/>
      <c r="B17" s="44"/>
      <c r="C17" s="12"/>
      <c r="D17" s="13"/>
      <c r="E17" s="13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85"/>
      <c r="Q17" s="12"/>
      <c r="R17" s="13"/>
      <c r="S17" s="13"/>
      <c r="T17" s="13"/>
      <c r="U17" s="13"/>
      <c r="V17" s="13"/>
      <c r="W17" s="13"/>
      <c r="X17" s="13"/>
      <c r="Y17" s="13"/>
      <c r="Z17" s="13"/>
      <c r="AA17" s="14"/>
      <c r="AB17" s="14"/>
      <c r="AC17" s="15"/>
      <c r="AD17" s="85"/>
      <c r="AE17" s="12"/>
      <c r="AF17" s="13"/>
      <c r="AG17" s="13"/>
      <c r="AH17" s="13"/>
      <c r="AI17" s="13"/>
      <c r="AJ17" s="13"/>
      <c r="AK17" s="13"/>
      <c r="AL17" s="13"/>
      <c r="AM17" s="14"/>
      <c r="AN17" s="14"/>
      <c r="AO17" s="14"/>
      <c r="AP17" s="14"/>
      <c r="AQ17" s="15"/>
      <c r="AR17" s="85"/>
      <c r="AS17" s="12"/>
      <c r="AT17" s="13"/>
      <c r="AU17" s="13"/>
      <c r="AV17" s="13"/>
      <c r="AW17" s="13"/>
      <c r="AX17" s="13"/>
      <c r="AY17" s="13"/>
      <c r="AZ17" s="14"/>
      <c r="BA17" s="14"/>
      <c r="BB17" s="14"/>
      <c r="BC17" s="14"/>
      <c r="BD17" s="14"/>
      <c r="BE17" s="15"/>
      <c r="BF17" s="85"/>
      <c r="BG17" s="12"/>
      <c r="BH17" s="13"/>
      <c r="BI17" s="13"/>
      <c r="BJ17" s="13"/>
      <c r="BK17" s="13"/>
      <c r="BL17" s="13"/>
      <c r="BM17" s="13"/>
      <c r="BN17" s="13"/>
      <c r="BO17" s="14"/>
      <c r="BP17" s="14"/>
      <c r="BQ17" s="14"/>
      <c r="BR17" s="14"/>
      <c r="BS17" s="15"/>
      <c r="BT17" s="85"/>
      <c r="BU17" s="12"/>
      <c r="BV17" s="13"/>
      <c r="BW17" s="13"/>
      <c r="BX17" s="13"/>
      <c r="BY17" s="13"/>
      <c r="BZ17" s="13"/>
      <c r="CA17" s="13"/>
      <c r="CB17" s="14"/>
      <c r="CC17" s="14"/>
      <c r="CD17" s="14"/>
      <c r="CE17" s="14"/>
      <c r="CF17" s="14"/>
      <c r="CG17" s="15"/>
      <c r="CH17" s="61"/>
      <c r="CI17" s="182"/>
      <c r="CJ17" s="52"/>
      <c r="CK17" s="190"/>
      <c r="CL17" s="191"/>
      <c r="CM17" s="191"/>
      <c r="CN17" s="191"/>
      <c r="CO17" s="192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1:143" s="119" customFormat="1" ht="11.45" customHeight="1" x14ac:dyDescent="0.2">
      <c r="A18" s="182"/>
      <c r="B18" s="44"/>
      <c r="C18" s="5"/>
      <c r="D18" s="9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85"/>
      <c r="Q18" s="5"/>
      <c r="R18" s="6"/>
      <c r="S18" s="9"/>
      <c r="T18" s="9"/>
      <c r="U18" s="9"/>
      <c r="V18" s="9"/>
      <c r="W18" s="9"/>
      <c r="X18" s="10"/>
      <c r="Y18" s="10"/>
      <c r="Z18" s="10"/>
      <c r="AA18" s="9"/>
      <c r="AB18" s="10"/>
      <c r="AC18" s="11"/>
      <c r="AD18" s="85"/>
      <c r="AE18" s="5"/>
      <c r="AF18" s="9"/>
      <c r="AG18" s="9"/>
      <c r="AH18" s="9"/>
      <c r="AI18" s="9"/>
      <c r="AJ18" s="9"/>
      <c r="AK18" s="9"/>
      <c r="AL18" s="9"/>
      <c r="AM18" s="10"/>
      <c r="AN18" s="10"/>
      <c r="AO18" s="10"/>
      <c r="AP18" s="10"/>
      <c r="AQ18" s="11"/>
      <c r="AR18" s="85"/>
      <c r="AS18" s="5"/>
      <c r="AT18" s="9"/>
      <c r="AU18" s="9"/>
      <c r="AV18" s="9"/>
      <c r="AW18" s="9"/>
      <c r="AX18" s="9"/>
      <c r="AY18" s="9"/>
      <c r="AZ18" s="10"/>
      <c r="BA18" s="10"/>
      <c r="BB18" s="10"/>
      <c r="BC18" s="10"/>
      <c r="BD18" s="10"/>
      <c r="BE18" s="11"/>
      <c r="BF18" s="85"/>
      <c r="BG18" s="5"/>
      <c r="BH18" s="9"/>
      <c r="BI18" s="9"/>
      <c r="BJ18" s="9"/>
      <c r="BK18" s="9"/>
      <c r="BL18" s="9"/>
      <c r="BM18" s="9"/>
      <c r="BN18" s="9"/>
      <c r="BO18" s="10"/>
      <c r="BP18" s="10"/>
      <c r="BQ18" s="10"/>
      <c r="BR18" s="10"/>
      <c r="BS18" s="11"/>
      <c r="BT18" s="85"/>
      <c r="BU18" s="5"/>
      <c r="BV18" s="9"/>
      <c r="BW18" s="9"/>
      <c r="BX18" s="9"/>
      <c r="BY18" s="9"/>
      <c r="BZ18" s="9"/>
      <c r="CA18" s="9"/>
      <c r="CB18" s="10"/>
      <c r="CC18" s="10"/>
      <c r="CD18" s="10"/>
      <c r="CE18" s="10"/>
      <c r="CF18" s="10"/>
      <c r="CG18" s="11"/>
      <c r="CH18" s="61"/>
      <c r="CI18" s="182"/>
      <c r="CJ18" s="52"/>
      <c r="CK18" s="220" t="s">
        <v>45</v>
      </c>
      <c r="CL18" s="222" t="s">
        <v>0</v>
      </c>
      <c r="CM18" s="224" t="s">
        <v>46</v>
      </c>
      <c r="CN18" s="224" t="s">
        <v>47</v>
      </c>
      <c r="CO18" s="226" t="s">
        <v>49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1:143" s="119" customFormat="1" ht="11.45" customHeight="1" x14ac:dyDescent="0.2">
      <c r="A19" s="182"/>
      <c r="B19" s="44"/>
      <c r="C19" s="12"/>
      <c r="D19" s="13"/>
      <c r="E19" s="13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85"/>
      <c r="Q19" s="12"/>
      <c r="R19" s="13"/>
      <c r="S19" s="13"/>
      <c r="T19" s="13"/>
      <c r="U19" s="13"/>
      <c r="V19" s="13"/>
      <c r="W19" s="13"/>
      <c r="X19" s="14"/>
      <c r="Y19" s="14"/>
      <c r="Z19" s="14"/>
      <c r="AA19" s="14"/>
      <c r="AB19" s="14"/>
      <c r="AC19" s="15"/>
      <c r="AD19" s="85"/>
      <c r="AE19" s="12"/>
      <c r="AF19" s="13"/>
      <c r="AG19" s="13"/>
      <c r="AH19" s="13"/>
      <c r="AI19" s="13"/>
      <c r="AJ19" s="13"/>
      <c r="AK19" s="13"/>
      <c r="AL19" s="13"/>
      <c r="AM19" s="14"/>
      <c r="AN19" s="14"/>
      <c r="AO19" s="14"/>
      <c r="AP19" s="14"/>
      <c r="AQ19" s="15"/>
      <c r="AR19" s="85"/>
      <c r="AS19" s="12"/>
      <c r="AT19" s="13"/>
      <c r="AU19" s="13"/>
      <c r="AV19" s="13"/>
      <c r="AW19" s="13"/>
      <c r="AX19" s="13"/>
      <c r="AY19" s="13"/>
      <c r="AZ19" s="14"/>
      <c r="BA19" s="14"/>
      <c r="BB19" s="14"/>
      <c r="BC19" s="14"/>
      <c r="BD19" s="14"/>
      <c r="BE19" s="15"/>
      <c r="BF19" s="85"/>
      <c r="BG19" s="12"/>
      <c r="BH19" s="13"/>
      <c r="BI19" s="13"/>
      <c r="BJ19" s="13"/>
      <c r="BK19" s="13"/>
      <c r="BL19" s="13"/>
      <c r="BM19" s="13"/>
      <c r="BN19" s="13"/>
      <c r="BO19" s="14"/>
      <c r="BP19" s="14"/>
      <c r="BQ19" s="14"/>
      <c r="BR19" s="14"/>
      <c r="BS19" s="15"/>
      <c r="BT19" s="85"/>
      <c r="BU19" s="12"/>
      <c r="BV19" s="13"/>
      <c r="BW19" s="13"/>
      <c r="BX19" s="13"/>
      <c r="BY19" s="13"/>
      <c r="BZ19" s="13"/>
      <c r="CA19" s="13"/>
      <c r="CB19" s="14"/>
      <c r="CC19" s="14"/>
      <c r="CD19" s="14"/>
      <c r="CE19" s="14"/>
      <c r="CF19" s="14"/>
      <c r="CG19" s="15"/>
      <c r="CH19" s="61"/>
      <c r="CI19" s="182"/>
      <c r="CJ19" s="52"/>
      <c r="CK19" s="221"/>
      <c r="CL19" s="223"/>
      <c r="CM19" s="225"/>
      <c r="CN19" s="225"/>
      <c r="CO19" s="227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1:143" s="119" customFormat="1" ht="11.45" customHeight="1" x14ac:dyDescent="0.2">
      <c r="A20" s="182">
        <v>900</v>
      </c>
      <c r="B20" s="44"/>
      <c r="C20" s="5"/>
      <c r="D20" s="9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85"/>
      <c r="Q20" s="5"/>
      <c r="R20" s="9"/>
      <c r="S20" s="9"/>
      <c r="T20" s="9"/>
      <c r="U20" s="9"/>
      <c r="V20" s="9"/>
      <c r="W20" s="9"/>
      <c r="X20" s="9"/>
      <c r="Y20" s="9"/>
      <c r="Z20" s="9"/>
      <c r="AA20" s="10"/>
      <c r="AB20" s="10"/>
      <c r="AC20" s="11"/>
      <c r="AD20" s="85"/>
      <c r="AE20" s="5"/>
      <c r="AF20" s="9"/>
      <c r="AG20" s="9"/>
      <c r="AH20" s="9"/>
      <c r="AI20" s="9"/>
      <c r="AJ20" s="9"/>
      <c r="AK20" s="9"/>
      <c r="AL20" s="9"/>
      <c r="AM20" s="10"/>
      <c r="AN20" s="10"/>
      <c r="AO20" s="10"/>
      <c r="AP20" s="10"/>
      <c r="AQ20" s="11"/>
      <c r="AR20" s="85"/>
      <c r="AS20" s="5"/>
      <c r="AT20" s="9"/>
      <c r="AU20" s="9"/>
      <c r="AV20" s="9"/>
      <c r="AW20" s="9"/>
      <c r="AX20" s="9"/>
      <c r="AY20" s="9"/>
      <c r="AZ20" s="10"/>
      <c r="BA20" s="10"/>
      <c r="BB20" s="10"/>
      <c r="BC20" s="10"/>
      <c r="BD20" s="10"/>
      <c r="BE20" s="11"/>
      <c r="BF20" s="85"/>
      <c r="BG20" s="5"/>
      <c r="BH20" s="9"/>
      <c r="BI20" s="9"/>
      <c r="BJ20" s="9"/>
      <c r="BK20" s="9"/>
      <c r="BL20" s="9"/>
      <c r="BM20" s="9"/>
      <c r="BN20" s="9"/>
      <c r="BO20" s="10"/>
      <c r="BP20" s="10"/>
      <c r="BQ20" s="10"/>
      <c r="BR20" s="10"/>
      <c r="BS20" s="11"/>
      <c r="BT20" s="85"/>
      <c r="BU20" s="5"/>
      <c r="BV20" s="9"/>
      <c r="BW20" s="9"/>
      <c r="BX20" s="9"/>
      <c r="BY20" s="9"/>
      <c r="BZ20" s="9"/>
      <c r="CA20" s="9"/>
      <c r="CB20" s="10"/>
      <c r="CC20" s="10"/>
      <c r="CD20" s="10"/>
      <c r="CE20" s="10"/>
      <c r="CF20" s="10"/>
      <c r="CG20" s="11"/>
      <c r="CH20" s="61"/>
      <c r="CI20" s="182">
        <v>900</v>
      </c>
      <c r="CJ20" s="52"/>
      <c r="CK20" s="341">
        <v>10</v>
      </c>
      <c r="CL20" s="213">
        <v>1500</v>
      </c>
      <c r="CM20" s="213" t="s">
        <v>64</v>
      </c>
      <c r="CN20" s="339" t="s">
        <v>65</v>
      </c>
      <c r="CO20" s="339" t="s">
        <v>12</v>
      </c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1:143" s="119" customFormat="1" ht="11.45" customHeight="1" x14ac:dyDescent="0.2">
      <c r="A21" s="182"/>
      <c r="B21" s="44"/>
      <c r="C21" s="12"/>
      <c r="D21" s="13"/>
      <c r="E21" s="13"/>
      <c r="F21" s="14"/>
      <c r="G21" s="14"/>
      <c r="H21" s="14"/>
      <c r="I21" s="14"/>
      <c r="J21" s="14"/>
      <c r="K21" s="14"/>
      <c r="L21" s="14"/>
      <c r="M21" s="14"/>
      <c r="N21" s="14" t="s">
        <v>9</v>
      </c>
      <c r="O21" s="15"/>
      <c r="P21" s="85"/>
      <c r="Q21" s="12"/>
      <c r="R21" s="13"/>
      <c r="S21" s="13"/>
      <c r="T21" s="13"/>
      <c r="U21" s="13"/>
      <c r="V21" s="13"/>
      <c r="W21" s="13"/>
      <c r="X21" s="13"/>
      <c r="Y21" s="13"/>
      <c r="Z21" s="13"/>
      <c r="AA21" s="14"/>
      <c r="AB21" s="14"/>
      <c r="AC21" s="15"/>
      <c r="AD21" s="85"/>
      <c r="AE21" s="12"/>
      <c r="AF21" s="13"/>
      <c r="AG21" s="13"/>
      <c r="AH21" s="13"/>
      <c r="AI21" s="13"/>
      <c r="AJ21" s="13"/>
      <c r="AK21" s="13"/>
      <c r="AL21" s="13"/>
      <c r="AM21" s="14"/>
      <c r="AN21" s="14"/>
      <c r="AO21" s="14"/>
      <c r="AP21" s="14"/>
      <c r="AQ21" s="15"/>
      <c r="AR21" s="85"/>
      <c r="AS21" s="12"/>
      <c r="AT21" s="13"/>
      <c r="AU21" s="13"/>
      <c r="AV21" s="13"/>
      <c r="AW21" s="13"/>
      <c r="AX21" s="13"/>
      <c r="AY21" s="13"/>
      <c r="AZ21" s="14"/>
      <c r="BA21" s="14"/>
      <c r="BB21" s="14"/>
      <c r="BC21" s="14"/>
      <c r="BD21" s="14"/>
      <c r="BE21" s="15"/>
      <c r="BF21" s="85"/>
      <c r="BG21" s="12"/>
      <c r="BH21" s="13"/>
      <c r="BI21" s="13"/>
      <c r="BJ21" s="13"/>
      <c r="BK21" s="13"/>
      <c r="BL21" s="13"/>
      <c r="BM21" s="13"/>
      <c r="BN21" s="13"/>
      <c r="BO21" s="14"/>
      <c r="BP21" s="14"/>
      <c r="BQ21" s="14"/>
      <c r="BR21" s="14"/>
      <c r="BS21" s="15"/>
      <c r="BT21" s="85"/>
      <c r="BU21" s="12"/>
      <c r="BV21" s="13"/>
      <c r="BW21" s="13"/>
      <c r="BX21" s="13"/>
      <c r="BY21" s="13"/>
      <c r="BZ21" s="13"/>
      <c r="CA21" s="13"/>
      <c r="CB21" s="14"/>
      <c r="CC21" s="14"/>
      <c r="CD21" s="14"/>
      <c r="CE21" s="14"/>
      <c r="CF21" s="14"/>
      <c r="CG21" s="15"/>
      <c r="CH21" s="61"/>
      <c r="CI21" s="182"/>
      <c r="CJ21" s="52"/>
      <c r="CK21" s="342"/>
      <c r="CL21" s="214"/>
      <c r="CM21" s="214"/>
      <c r="CN21" s="340"/>
      <c r="CO21" s="340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1:143" s="119" customFormat="1" ht="11.45" customHeight="1" x14ac:dyDescent="0.2">
      <c r="A22" s="182"/>
      <c r="B22" s="44"/>
      <c r="C22" s="5"/>
      <c r="D22" s="9"/>
      <c r="E22" s="9"/>
      <c r="F22" s="10"/>
      <c r="G22" s="10"/>
      <c r="H22" s="10"/>
      <c r="I22" s="10"/>
      <c r="J22" s="10"/>
      <c r="K22" s="10"/>
      <c r="L22" s="10"/>
      <c r="M22" s="22"/>
      <c r="N22" s="10"/>
      <c r="O22" s="11"/>
      <c r="P22" s="85"/>
      <c r="Q22" s="5"/>
      <c r="R22" s="9"/>
      <c r="S22" s="9"/>
      <c r="T22" s="9"/>
      <c r="U22" s="9"/>
      <c r="V22" s="9"/>
      <c r="W22" s="9"/>
      <c r="X22" s="10"/>
      <c r="Y22" s="10"/>
      <c r="Z22" s="10"/>
      <c r="AA22" s="10"/>
      <c r="AB22" s="10"/>
      <c r="AC22" s="11"/>
      <c r="AD22" s="85"/>
      <c r="AE22" s="5"/>
      <c r="AF22" s="9"/>
      <c r="AG22" s="9"/>
      <c r="AH22" s="9"/>
      <c r="AI22" s="9"/>
      <c r="AJ22" s="9"/>
      <c r="AK22" s="9"/>
      <c r="AL22" s="9"/>
      <c r="AM22" s="10"/>
      <c r="AN22" s="10"/>
      <c r="AO22" s="10"/>
      <c r="AP22" s="10"/>
      <c r="AQ22" s="11"/>
      <c r="AR22" s="85"/>
      <c r="AS22" s="5"/>
      <c r="AT22" s="9"/>
      <c r="AU22" s="9"/>
      <c r="AV22" s="9"/>
      <c r="AW22" s="9"/>
      <c r="AX22" s="9"/>
      <c r="AY22" s="9"/>
      <c r="AZ22" s="10"/>
      <c r="BA22" s="10"/>
      <c r="BB22" s="10"/>
      <c r="BC22" s="10"/>
      <c r="BD22" s="10"/>
      <c r="BE22" s="11"/>
      <c r="BF22" s="85"/>
      <c r="BG22" s="5"/>
      <c r="BH22" s="9"/>
      <c r="BI22" s="9"/>
      <c r="BJ22" s="9"/>
      <c r="BK22" s="9"/>
      <c r="BL22" s="9"/>
      <c r="BM22" s="9"/>
      <c r="BN22" s="9"/>
      <c r="BO22" s="10"/>
      <c r="BP22" s="10"/>
      <c r="BQ22" s="10"/>
      <c r="BR22" s="10"/>
      <c r="BS22" s="11"/>
      <c r="BT22" s="85"/>
      <c r="BU22" s="5"/>
      <c r="BV22" s="9"/>
      <c r="BW22" s="9"/>
      <c r="BX22" s="9"/>
      <c r="BY22" s="9"/>
      <c r="BZ22" s="9"/>
      <c r="CA22" s="9"/>
      <c r="CB22" s="10"/>
      <c r="CC22" s="10"/>
      <c r="CD22" s="10"/>
      <c r="CE22" s="10"/>
      <c r="CF22" s="10"/>
      <c r="CG22" s="11"/>
      <c r="CH22" s="61"/>
      <c r="CI22" s="182"/>
      <c r="CJ22" s="52"/>
      <c r="CK22" s="341">
        <v>11</v>
      </c>
      <c r="CL22" s="213">
        <v>2030</v>
      </c>
      <c r="CM22" s="213" t="s">
        <v>26</v>
      </c>
      <c r="CN22" s="339" t="s">
        <v>27</v>
      </c>
      <c r="CO22" s="339" t="s">
        <v>12</v>
      </c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1:143" s="119" customFormat="1" ht="11.45" customHeight="1" x14ac:dyDescent="0.2">
      <c r="A23" s="182"/>
      <c r="B23" s="44"/>
      <c r="C23" s="12"/>
      <c r="D23" s="13"/>
      <c r="E23" s="13"/>
      <c r="F23" s="14"/>
      <c r="G23" s="14"/>
      <c r="H23" s="14"/>
      <c r="I23" s="14"/>
      <c r="J23" s="14"/>
      <c r="K23" s="14"/>
      <c r="L23" s="14"/>
      <c r="M23" s="23"/>
      <c r="N23" s="14"/>
      <c r="O23" s="15"/>
      <c r="P23" s="85"/>
      <c r="Q23" s="12"/>
      <c r="R23" s="13"/>
      <c r="S23" s="13"/>
      <c r="T23" s="13"/>
      <c r="U23" s="13"/>
      <c r="V23" s="13"/>
      <c r="W23" s="13"/>
      <c r="X23" s="14"/>
      <c r="Y23" s="14"/>
      <c r="Z23" s="14"/>
      <c r="AA23" s="14"/>
      <c r="AB23" s="14"/>
      <c r="AC23" s="15"/>
      <c r="AD23" s="85"/>
      <c r="AE23" s="12"/>
      <c r="AF23" s="13"/>
      <c r="AG23" s="13"/>
      <c r="AH23" s="13"/>
      <c r="AI23" s="13"/>
      <c r="AJ23" s="13"/>
      <c r="AK23" s="13"/>
      <c r="AL23" s="13"/>
      <c r="AM23" s="14"/>
      <c r="AN23" s="14"/>
      <c r="AO23" s="14"/>
      <c r="AP23" s="14"/>
      <c r="AQ23" s="15"/>
      <c r="AR23" s="85"/>
      <c r="AS23" s="12"/>
      <c r="AT23" s="13"/>
      <c r="AU23" s="13"/>
      <c r="AV23" s="13"/>
      <c r="AW23" s="13"/>
      <c r="AX23" s="13"/>
      <c r="AY23" s="13"/>
      <c r="AZ23" s="14"/>
      <c r="BA23" s="14"/>
      <c r="BB23" s="14"/>
      <c r="BC23" s="14"/>
      <c r="BD23" s="14"/>
      <c r="BE23" s="15"/>
      <c r="BF23" s="85"/>
      <c r="BG23" s="12"/>
      <c r="BH23" s="13"/>
      <c r="BI23" s="13"/>
      <c r="BJ23" s="13"/>
      <c r="BK23" s="13"/>
      <c r="BL23" s="13"/>
      <c r="BM23" s="13"/>
      <c r="BN23" s="13"/>
      <c r="BO23" s="14"/>
      <c r="BP23" s="14"/>
      <c r="BQ23" s="14"/>
      <c r="BR23" s="14"/>
      <c r="BS23" s="15"/>
      <c r="BT23" s="85"/>
      <c r="BU23" s="12"/>
      <c r="BV23" s="13"/>
      <c r="BW23" s="13"/>
      <c r="BX23" s="13"/>
      <c r="BY23" s="13"/>
      <c r="BZ23" s="13"/>
      <c r="CA23" s="13"/>
      <c r="CB23" s="14"/>
      <c r="CC23" s="14"/>
      <c r="CD23" s="14"/>
      <c r="CE23" s="14"/>
      <c r="CF23" s="14"/>
      <c r="CG23" s="15"/>
      <c r="CH23" s="61"/>
      <c r="CI23" s="182"/>
      <c r="CJ23" s="52"/>
      <c r="CK23" s="342"/>
      <c r="CL23" s="214"/>
      <c r="CM23" s="214"/>
      <c r="CN23" s="340"/>
      <c r="CO23" s="340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1:143" s="119" customFormat="1" ht="11.45" customHeight="1" x14ac:dyDescent="0.2">
      <c r="A24" s="182">
        <v>1000</v>
      </c>
      <c r="B24" s="44"/>
      <c r="C24" s="5"/>
      <c r="D24" s="9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1"/>
      <c r="P24" s="85"/>
      <c r="Q24" s="5"/>
      <c r="R24" s="9"/>
      <c r="S24" s="9"/>
      <c r="T24" s="9"/>
      <c r="U24" s="9"/>
      <c r="V24" s="9"/>
      <c r="W24" s="9"/>
      <c r="X24" s="9"/>
      <c r="Y24" s="9"/>
      <c r="Z24" s="9"/>
      <c r="AA24" s="10"/>
      <c r="AB24" s="10"/>
      <c r="AC24" s="11"/>
      <c r="AD24" s="85"/>
      <c r="AE24" s="5"/>
      <c r="AF24" s="9"/>
      <c r="AG24" s="9"/>
      <c r="AH24" s="9"/>
      <c r="AI24" s="9"/>
      <c r="AJ24" s="9"/>
      <c r="AK24" s="9"/>
      <c r="AL24" s="9"/>
      <c r="AM24" s="10"/>
      <c r="AN24" s="10"/>
      <c r="AO24" s="10"/>
      <c r="AP24" s="10"/>
      <c r="AQ24" s="11"/>
      <c r="AR24" s="85"/>
      <c r="AS24" s="5"/>
      <c r="AT24" s="9"/>
      <c r="AU24" s="9"/>
      <c r="AV24" s="9"/>
      <c r="AW24" s="9"/>
      <c r="AX24" s="9"/>
      <c r="AY24" s="9"/>
      <c r="AZ24" s="10"/>
      <c r="BA24" s="10"/>
      <c r="BB24" s="10"/>
      <c r="BC24" s="10"/>
      <c r="BD24" s="10"/>
      <c r="BE24" s="11"/>
      <c r="BF24" s="85"/>
      <c r="BG24" s="5"/>
      <c r="BH24" s="9"/>
      <c r="BI24" s="9"/>
      <c r="BJ24" s="9"/>
      <c r="BK24" s="9"/>
      <c r="BL24" s="9"/>
      <c r="BM24" s="9"/>
      <c r="BN24" s="9"/>
      <c r="BO24" s="10"/>
      <c r="BP24" s="10"/>
      <c r="BQ24" s="10"/>
      <c r="BR24" s="10"/>
      <c r="BS24" s="11"/>
      <c r="BT24" s="85"/>
      <c r="BU24" s="5"/>
      <c r="BV24" s="9"/>
      <c r="BW24" s="9"/>
      <c r="BX24" s="9"/>
      <c r="BY24" s="9"/>
      <c r="BZ24" s="9"/>
      <c r="CA24" s="9"/>
      <c r="CB24" s="10"/>
      <c r="CC24" s="10"/>
      <c r="CD24" s="10"/>
      <c r="CE24" s="10"/>
      <c r="CF24" s="10"/>
      <c r="CG24" s="11"/>
      <c r="CH24" s="61"/>
      <c r="CI24" s="182">
        <v>1000</v>
      </c>
      <c r="CJ24" s="52"/>
      <c r="CK24" s="341">
        <v>12</v>
      </c>
      <c r="CL24" s="213">
        <v>1900</v>
      </c>
      <c r="CM24" s="213" t="s">
        <v>75</v>
      </c>
      <c r="CN24" s="339" t="s">
        <v>76</v>
      </c>
      <c r="CO24" s="339" t="s">
        <v>68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1:143" s="119" customFormat="1" ht="11.45" customHeight="1" x14ac:dyDescent="0.2">
      <c r="A25" s="182"/>
      <c r="B25" s="44"/>
      <c r="C25" s="12"/>
      <c r="D25" s="13"/>
      <c r="E25" s="13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85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  <c r="AB25" s="14"/>
      <c r="AC25" s="15"/>
      <c r="AD25" s="85"/>
      <c r="AE25" s="12"/>
      <c r="AF25" s="13"/>
      <c r="AG25" s="13"/>
      <c r="AH25" s="13"/>
      <c r="AI25" s="13"/>
      <c r="AJ25" s="13"/>
      <c r="AK25" s="13"/>
      <c r="AL25" s="13"/>
      <c r="AM25" s="14"/>
      <c r="AN25" s="14"/>
      <c r="AO25" s="14"/>
      <c r="AP25" s="14"/>
      <c r="AQ25" s="15"/>
      <c r="AR25" s="85"/>
      <c r="AS25" s="12"/>
      <c r="AT25" s="13"/>
      <c r="AU25" s="13"/>
      <c r="AV25" s="13"/>
      <c r="AW25" s="13"/>
      <c r="AX25" s="13"/>
      <c r="AY25" s="13"/>
      <c r="AZ25" s="14"/>
      <c r="BA25" s="14"/>
      <c r="BB25" s="14"/>
      <c r="BC25" s="14"/>
      <c r="BD25" s="14"/>
      <c r="BE25" s="15"/>
      <c r="BF25" s="85"/>
      <c r="BG25" s="12"/>
      <c r="BH25" s="13"/>
      <c r="BI25" s="13"/>
      <c r="BJ25" s="13"/>
      <c r="BK25" s="13"/>
      <c r="BL25" s="13"/>
      <c r="BM25" s="13"/>
      <c r="BN25" s="13"/>
      <c r="BO25" s="14"/>
      <c r="BP25" s="14"/>
      <c r="BQ25" s="14"/>
      <c r="BR25" s="14"/>
      <c r="BS25" s="15"/>
      <c r="BT25" s="85"/>
      <c r="BU25" s="12"/>
      <c r="BV25" s="13"/>
      <c r="BW25" s="13"/>
      <c r="BX25" s="13"/>
      <c r="BY25" s="13"/>
      <c r="BZ25" s="13"/>
      <c r="CA25" s="13"/>
      <c r="CB25" s="14"/>
      <c r="CC25" s="14"/>
      <c r="CD25" s="14"/>
      <c r="CE25" s="14"/>
      <c r="CF25" s="14"/>
      <c r="CG25" s="15"/>
      <c r="CH25" s="61"/>
      <c r="CI25" s="182"/>
      <c r="CJ25" s="52"/>
      <c r="CK25" s="342"/>
      <c r="CL25" s="214"/>
      <c r="CM25" s="214"/>
      <c r="CN25" s="340"/>
      <c r="CO25" s="340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1:143" s="119" customFormat="1" ht="11.45" customHeight="1" x14ac:dyDescent="0.2">
      <c r="A26" s="182"/>
      <c r="B26" s="44"/>
      <c r="C26" s="5"/>
      <c r="D26" s="9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85"/>
      <c r="Q26" s="5"/>
      <c r="R26" s="9"/>
      <c r="S26" s="9"/>
      <c r="T26" s="9"/>
      <c r="U26" s="9"/>
      <c r="V26" s="9"/>
      <c r="W26" s="9"/>
      <c r="X26" s="9"/>
      <c r="Y26" s="9"/>
      <c r="Z26" s="9"/>
      <c r="AA26" s="10"/>
      <c r="AB26" s="10"/>
      <c r="AC26" s="11"/>
      <c r="AD26" s="85"/>
      <c r="AE26" s="5"/>
      <c r="AF26" s="9"/>
      <c r="AG26" s="9"/>
      <c r="AH26" s="9"/>
      <c r="AI26" s="9"/>
      <c r="AJ26" s="9"/>
      <c r="AK26" s="9"/>
      <c r="AL26" s="9"/>
      <c r="AM26" s="10"/>
      <c r="AN26" s="10"/>
      <c r="AO26" s="10"/>
      <c r="AP26" s="10"/>
      <c r="AQ26" s="11"/>
      <c r="AR26" s="85"/>
      <c r="AS26" s="5"/>
      <c r="AT26" s="9"/>
      <c r="AU26" s="9"/>
      <c r="AV26" s="9"/>
      <c r="AW26" s="9"/>
      <c r="AX26" s="9"/>
      <c r="AY26" s="9"/>
      <c r="AZ26" s="10"/>
      <c r="BA26" s="10"/>
      <c r="BB26" s="10"/>
      <c r="BC26" s="10"/>
      <c r="BD26" s="10"/>
      <c r="BE26" s="11"/>
      <c r="BF26" s="85"/>
      <c r="BG26" s="5"/>
      <c r="BH26" s="9"/>
      <c r="BI26" s="9"/>
      <c r="BJ26" s="9"/>
      <c r="BK26" s="9"/>
      <c r="BL26" s="9"/>
      <c r="BM26" s="9"/>
      <c r="BN26" s="9"/>
      <c r="BO26" s="10"/>
      <c r="BP26" s="10"/>
      <c r="BQ26" s="10"/>
      <c r="BR26" s="10"/>
      <c r="BS26" s="11"/>
      <c r="BT26" s="85"/>
      <c r="BU26" s="5"/>
      <c r="BV26" s="9"/>
      <c r="BW26" s="9"/>
      <c r="BX26" s="9"/>
      <c r="BY26" s="9"/>
      <c r="BZ26" s="9"/>
      <c r="CA26" s="9"/>
      <c r="CB26" s="10"/>
      <c r="CC26" s="10"/>
      <c r="CD26" s="10"/>
      <c r="CE26" s="10"/>
      <c r="CF26" s="10"/>
      <c r="CG26" s="11"/>
      <c r="CH26" s="61"/>
      <c r="CI26" s="182"/>
      <c r="CJ26" s="52"/>
      <c r="CK26" s="341">
        <v>20</v>
      </c>
      <c r="CL26" s="213">
        <v>1600</v>
      </c>
      <c r="CM26" s="213" t="s">
        <v>66</v>
      </c>
      <c r="CN26" s="339" t="s">
        <v>89</v>
      </c>
      <c r="CO26" s="339" t="s">
        <v>12</v>
      </c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1:143" s="119" customFormat="1" ht="11.45" customHeight="1" x14ac:dyDescent="0.2">
      <c r="A27" s="182"/>
      <c r="B27" s="44"/>
      <c r="C27" s="12"/>
      <c r="D27" s="13"/>
      <c r="E27" s="13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85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  <c r="AB27" s="14"/>
      <c r="AC27" s="15"/>
      <c r="AD27" s="85"/>
      <c r="AE27" s="12"/>
      <c r="AF27" s="13"/>
      <c r="AG27" s="13"/>
      <c r="AH27" s="13"/>
      <c r="AI27" s="13"/>
      <c r="AJ27" s="13"/>
      <c r="AK27" s="13"/>
      <c r="AL27" s="13"/>
      <c r="AM27" s="14"/>
      <c r="AN27" s="14"/>
      <c r="AO27" s="14"/>
      <c r="AP27" s="14"/>
      <c r="AQ27" s="15"/>
      <c r="AR27" s="85"/>
      <c r="AS27" s="12"/>
      <c r="AT27" s="13"/>
      <c r="AU27" s="13"/>
      <c r="AV27" s="13"/>
      <c r="AW27" s="13"/>
      <c r="AX27" s="13"/>
      <c r="AY27" s="13"/>
      <c r="AZ27" s="14"/>
      <c r="BA27" s="14"/>
      <c r="BB27" s="14"/>
      <c r="BC27" s="14"/>
      <c r="BD27" s="14"/>
      <c r="BE27" s="15"/>
      <c r="BF27" s="85"/>
      <c r="BG27" s="12"/>
      <c r="BH27" s="13"/>
      <c r="BI27" s="13"/>
      <c r="BJ27" s="13"/>
      <c r="BK27" s="13"/>
      <c r="BL27" s="13"/>
      <c r="BM27" s="13"/>
      <c r="BN27" s="13"/>
      <c r="BO27" s="14"/>
      <c r="BP27" s="14"/>
      <c r="BQ27" s="14"/>
      <c r="BR27" s="14"/>
      <c r="BS27" s="15"/>
      <c r="BT27" s="85"/>
      <c r="BU27" s="12"/>
      <c r="BV27" s="13"/>
      <c r="BW27" s="13"/>
      <c r="BX27" s="13"/>
      <c r="BY27" s="13"/>
      <c r="BZ27" s="13"/>
      <c r="CA27" s="13"/>
      <c r="CB27" s="14"/>
      <c r="CC27" s="14"/>
      <c r="CD27" s="14"/>
      <c r="CE27" s="14"/>
      <c r="CF27" s="14"/>
      <c r="CG27" s="15"/>
      <c r="CH27" s="61"/>
      <c r="CI27" s="182"/>
      <c r="CJ27" s="52"/>
      <c r="CK27" s="342"/>
      <c r="CL27" s="214"/>
      <c r="CM27" s="214"/>
      <c r="CN27" s="340"/>
      <c r="CO27" s="340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1:143" s="119" customFormat="1" ht="11.45" customHeight="1" x14ac:dyDescent="0.2">
      <c r="A28" s="182">
        <v>1100</v>
      </c>
      <c r="B28" s="44"/>
      <c r="C28" s="5"/>
      <c r="D28" s="9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1"/>
      <c r="P28" s="85"/>
      <c r="Q28" s="5"/>
      <c r="R28" s="9"/>
      <c r="S28" s="9"/>
      <c r="T28" s="9"/>
      <c r="U28" s="9"/>
      <c r="V28" s="9"/>
      <c r="W28" s="9"/>
      <c r="X28" s="9"/>
      <c r="Y28" s="9"/>
      <c r="Z28" s="9"/>
      <c r="AA28" s="10"/>
      <c r="AB28" s="10"/>
      <c r="AC28" s="11"/>
      <c r="AD28" s="85"/>
      <c r="AE28" s="5"/>
      <c r="AF28" s="9"/>
      <c r="AG28" s="9"/>
      <c r="AH28" s="9"/>
      <c r="AI28" s="9"/>
      <c r="AJ28" s="9"/>
      <c r="AK28" s="9"/>
      <c r="AL28" s="9"/>
      <c r="AM28" s="10"/>
      <c r="AN28" s="10"/>
      <c r="AO28" s="10"/>
      <c r="AP28" s="10"/>
      <c r="AQ28" s="11"/>
      <c r="AR28" s="85"/>
      <c r="AS28" s="5"/>
      <c r="AT28" s="9"/>
      <c r="AU28" s="9"/>
      <c r="AV28" s="9"/>
      <c r="AW28" s="9"/>
      <c r="AX28" s="9"/>
      <c r="AY28" s="9"/>
      <c r="AZ28" s="10"/>
      <c r="BA28" s="10"/>
      <c r="BB28" s="10"/>
      <c r="BC28" s="10"/>
      <c r="BD28" s="10"/>
      <c r="BE28" s="11"/>
      <c r="BF28" s="85"/>
      <c r="BG28" s="5"/>
      <c r="BH28" s="9"/>
      <c r="BI28" s="9"/>
      <c r="BJ28" s="9"/>
      <c r="BK28" s="9"/>
      <c r="BL28" s="9"/>
      <c r="BM28" s="9"/>
      <c r="BN28" s="9"/>
      <c r="BO28" s="10"/>
      <c r="BP28" s="10"/>
      <c r="BQ28" s="10"/>
      <c r="BR28" s="10"/>
      <c r="BS28" s="11"/>
      <c r="BT28" s="85"/>
      <c r="BU28" s="5"/>
      <c r="BV28" s="9"/>
      <c r="BW28" s="9"/>
      <c r="BX28" s="9"/>
      <c r="BY28" s="9"/>
      <c r="BZ28" s="9"/>
      <c r="CA28" s="9"/>
      <c r="CB28" s="10"/>
      <c r="CC28" s="10"/>
      <c r="CD28" s="10"/>
      <c r="CE28" s="10"/>
      <c r="CF28" s="10"/>
      <c r="CG28" s="11"/>
      <c r="CH28" s="61"/>
      <c r="CI28" s="182">
        <v>1100</v>
      </c>
      <c r="CJ28" s="52"/>
      <c r="CK28" s="341">
        <v>21</v>
      </c>
      <c r="CL28" s="213">
        <v>2015</v>
      </c>
      <c r="CM28" s="213" t="s">
        <v>78</v>
      </c>
      <c r="CN28" s="339" t="s">
        <v>76</v>
      </c>
      <c r="CO28" s="339" t="s">
        <v>12</v>
      </c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1:143" s="119" customFormat="1" ht="11.45" customHeight="1" x14ac:dyDescent="0.2">
      <c r="A29" s="182"/>
      <c r="B29" s="44"/>
      <c r="C29" s="12"/>
      <c r="D29" s="13"/>
      <c r="E29" s="13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85"/>
      <c r="Q29" s="12"/>
      <c r="R29" s="13"/>
      <c r="S29" s="13"/>
      <c r="T29" s="13"/>
      <c r="U29" s="13"/>
      <c r="V29" s="13"/>
      <c r="W29" s="13"/>
      <c r="X29" s="13"/>
      <c r="Y29" s="13"/>
      <c r="Z29" s="13"/>
      <c r="AA29" s="14"/>
      <c r="AB29" s="14"/>
      <c r="AC29" s="15"/>
      <c r="AD29" s="85"/>
      <c r="AE29" s="12"/>
      <c r="AF29" s="13"/>
      <c r="AG29" s="13"/>
      <c r="AH29" s="13"/>
      <c r="AI29" s="13"/>
      <c r="AJ29" s="13"/>
      <c r="AK29" s="13"/>
      <c r="AL29" s="13"/>
      <c r="AM29" s="14"/>
      <c r="AN29" s="14"/>
      <c r="AO29" s="14"/>
      <c r="AP29" s="14"/>
      <c r="AQ29" s="15"/>
      <c r="AR29" s="85"/>
      <c r="AS29" s="12"/>
      <c r="AT29" s="13"/>
      <c r="AU29" s="13"/>
      <c r="AV29" s="13"/>
      <c r="AW29" s="13"/>
      <c r="AX29" s="13"/>
      <c r="AY29" s="13"/>
      <c r="AZ29" s="14"/>
      <c r="BA29" s="14"/>
      <c r="BB29" s="14"/>
      <c r="BC29" s="14"/>
      <c r="BD29" s="14"/>
      <c r="BE29" s="15"/>
      <c r="BF29" s="85"/>
      <c r="BG29" s="12"/>
      <c r="BH29" s="13"/>
      <c r="BI29" s="13"/>
      <c r="BJ29" s="13"/>
      <c r="BK29" s="13"/>
      <c r="BL29" s="13"/>
      <c r="BM29" s="13"/>
      <c r="BN29" s="13"/>
      <c r="BO29" s="14"/>
      <c r="BP29" s="14"/>
      <c r="BQ29" s="14"/>
      <c r="BR29" s="14"/>
      <c r="BS29" s="15"/>
      <c r="BT29" s="85"/>
      <c r="BU29" s="12"/>
      <c r="BV29" s="13"/>
      <c r="BW29" s="13"/>
      <c r="BX29" s="13"/>
      <c r="BY29" s="13"/>
      <c r="BZ29" s="13"/>
      <c r="CA29" s="13"/>
      <c r="CB29" s="14"/>
      <c r="CC29" s="14"/>
      <c r="CD29" s="14"/>
      <c r="CE29" s="14"/>
      <c r="CF29" s="14"/>
      <c r="CG29" s="15"/>
      <c r="CH29" s="61"/>
      <c r="CI29" s="182"/>
      <c r="CJ29" s="52"/>
      <c r="CK29" s="342"/>
      <c r="CL29" s="214"/>
      <c r="CM29" s="214"/>
      <c r="CN29" s="340"/>
      <c r="CO29" s="340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1:143" s="119" customFormat="1" ht="11.45" customHeight="1" x14ac:dyDescent="0.2">
      <c r="A30" s="182"/>
      <c r="B30" s="44"/>
      <c r="C30" s="5"/>
      <c r="D30" s="9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85"/>
      <c r="Q30" s="5"/>
      <c r="R30" s="9"/>
      <c r="S30" s="9"/>
      <c r="T30" s="9"/>
      <c r="U30" s="9"/>
      <c r="V30" s="9"/>
      <c r="W30" s="9"/>
      <c r="X30" s="9"/>
      <c r="Y30" s="9"/>
      <c r="Z30" s="9"/>
      <c r="AA30" s="10"/>
      <c r="AB30" s="10"/>
      <c r="AC30" s="11"/>
      <c r="AD30" s="85"/>
      <c r="AE30" s="5"/>
      <c r="AF30" s="9"/>
      <c r="AG30" s="9"/>
      <c r="AH30" s="9"/>
      <c r="AI30" s="9"/>
      <c r="AJ30" s="9"/>
      <c r="AK30" s="9"/>
      <c r="AL30" s="9"/>
      <c r="AM30" s="10"/>
      <c r="AN30" s="10"/>
      <c r="AO30" s="10"/>
      <c r="AP30" s="10"/>
      <c r="AQ30" s="11"/>
      <c r="AR30" s="85"/>
      <c r="AS30" s="5"/>
      <c r="AT30" s="9"/>
      <c r="AU30" s="9"/>
      <c r="AV30" s="9"/>
      <c r="AW30" s="9"/>
      <c r="AX30" s="9"/>
      <c r="AY30" s="9"/>
      <c r="AZ30" s="10"/>
      <c r="BA30" s="10"/>
      <c r="BB30" s="10"/>
      <c r="BC30" s="10"/>
      <c r="BD30" s="10"/>
      <c r="BE30" s="11"/>
      <c r="BF30" s="85"/>
      <c r="BG30" s="5"/>
      <c r="BH30" s="9"/>
      <c r="BI30" s="9"/>
      <c r="BJ30" s="9"/>
      <c r="BK30" s="9"/>
      <c r="BL30" s="9"/>
      <c r="BM30" s="9"/>
      <c r="BN30" s="9"/>
      <c r="BO30" s="10"/>
      <c r="BP30" s="10"/>
      <c r="BQ30" s="10"/>
      <c r="BR30" s="10"/>
      <c r="BS30" s="11"/>
      <c r="BT30" s="85"/>
      <c r="BU30" s="5"/>
      <c r="BV30" s="9"/>
      <c r="BW30" s="9"/>
      <c r="BX30" s="9"/>
      <c r="BY30" s="9"/>
      <c r="BZ30" s="9"/>
      <c r="CA30" s="9"/>
      <c r="CB30" s="10"/>
      <c r="CC30" s="10"/>
      <c r="CD30" s="10"/>
      <c r="CE30" s="10"/>
      <c r="CF30" s="10"/>
      <c r="CG30" s="11"/>
      <c r="CH30" s="61"/>
      <c r="CI30" s="182"/>
      <c r="CJ30" s="52"/>
      <c r="CK30" s="341">
        <v>30</v>
      </c>
      <c r="CL30" s="213">
        <v>1330</v>
      </c>
      <c r="CM30" s="213" t="s">
        <v>67</v>
      </c>
      <c r="CN30" s="339" t="s">
        <v>65</v>
      </c>
      <c r="CO30" s="339" t="s">
        <v>68</v>
      </c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1:143" s="119" customFormat="1" ht="11.45" customHeight="1" x14ac:dyDescent="0.2">
      <c r="A31" s="182"/>
      <c r="B31" s="44"/>
      <c r="C31" s="12"/>
      <c r="D31" s="13"/>
      <c r="E31" s="13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85"/>
      <c r="Q31" s="12"/>
      <c r="R31" s="13"/>
      <c r="S31" s="13"/>
      <c r="T31" s="13"/>
      <c r="U31" s="13"/>
      <c r="V31" s="13"/>
      <c r="W31" s="13"/>
      <c r="X31" s="13"/>
      <c r="Y31" s="13"/>
      <c r="Z31" s="13"/>
      <c r="AA31" s="14"/>
      <c r="AB31" s="14"/>
      <c r="AC31" s="15"/>
      <c r="AD31" s="85"/>
      <c r="AE31" s="12"/>
      <c r="AF31" s="13"/>
      <c r="AG31" s="13"/>
      <c r="AH31" s="13"/>
      <c r="AI31" s="13"/>
      <c r="AJ31" s="13"/>
      <c r="AK31" s="13"/>
      <c r="AL31" s="13"/>
      <c r="AM31" s="14"/>
      <c r="AN31" s="14"/>
      <c r="AO31" s="14"/>
      <c r="AP31" s="14"/>
      <c r="AQ31" s="15"/>
      <c r="AR31" s="85"/>
      <c r="AS31" s="12"/>
      <c r="AT31" s="13"/>
      <c r="AU31" s="13"/>
      <c r="AV31" s="13"/>
      <c r="AW31" s="13"/>
      <c r="AX31" s="13"/>
      <c r="AY31" s="13"/>
      <c r="AZ31" s="14"/>
      <c r="BA31" s="14"/>
      <c r="BB31" s="14"/>
      <c r="BC31" s="14"/>
      <c r="BD31" s="14"/>
      <c r="BE31" s="15"/>
      <c r="BF31" s="85"/>
      <c r="BG31" s="12"/>
      <c r="BH31" s="13"/>
      <c r="BI31" s="13"/>
      <c r="BJ31" s="13"/>
      <c r="BK31" s="13"/>
      <c r="BL31" s="13"/>
      <c r="BM31" s="13"/>
      <c r="BN31" s="13"/>
      <c r="BO31" s="14"/>
      <c r="BP31" s="14"/>
      <c r="BQ31" s="14"/>
      <c r="BR31" s="14"/>
      <c r="BS31" s="15"/>
      <c r="BT31" s="85"/>
      <c r="BU31" s="12"/>
      <c r="BV31" s="13"/>
      <c r="BW31" s="13"/>
      <c r="BX31" s="13"/>
      <c r="BY31" s="13"/>
      <c r="BZ31" s="13"/>
      <c r="CA31" s="13"/>
      <c r="CB31" s="14"/>
      <c r="CC31" s="14"/>
      <c r="CD31" s="14"/>
      <c r="CE31" s="14"/>
      <c r="CF31" s="14"/>
      <c r="CG31" s="15"/>
      <c r="CH31" s="61"/>
      <c r="CI31" s="182"/>
      <c r="CJ31" s="52"/>
      <c r="CK31" s="342"/>
      <c r="CL31" s="214"/>
      <c r="CM31" s="214"/>
      <c r="CN31" s="340"/>
      <c r="CO31" s="340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1:143" s="119" customFormat="1" ht="11.45" customHeight="1" x14ac:dyDescent="0.2">
      <c r="A32" s="182">
        <v>1200</v>
      </c>
      <c r="B32" s="44"/>
      <c r="C32" s="5"/>
      <c r="D32" s="9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1"/>
      <c r="P32" s="85"/>
      <c r="Q32" s="5"/>
      <c r="R32" s="9"/>
      <c r="S32" s="9"/>
      <c r="T32" s="9"/>
      <c r="U32" s="9"/>
      <c r="V32" s="9"/>
      <c r="W32" s="9"/>
      <c r="X32" s="9"/>
      <c r="Y32" s="9"/>
      <c r="Z32" s="9"/>
      <c r="AA32" s="10"/>
      <c r="AB32" s="10"/>
      <c r="AC32" s="11"/>
      <c r="AD32" s="85"/>
      <c r="AE32" s="5"/>
      <c r="AF32" s="9"/>
      <c r="AG32" s="9"/>
      <c r="AH32" s="9"/>
      <c r="AI32" s="9"/>
      <c r="AJ32" s="9"/>
      <c r="AK32" s="9"/>
      <c r="AL32" s="9"/>
      <c r="AM32" s="10"/>
      <c r="AN32" s="10"/>
      <c r="AO32" s="10"/>
      <c r="AP32" s="10"/>
      <c r="AQ32" s="11"/>
      <c r="AR32" s="85"/>
      <c r="AS32" s="5"/>
      <c r="AT32" s="9"/>
      <c r="AU32" s="9"/>
      <c r="AV32" s="9"/>
      <c r="AW32" s="9"/>
      <c r="AX32" s="9"/>
      <c r="AY32" s="9"/>
      <c r="AZ32" s="10"/>
      <c r="BA32" s="10"/>
      <c r="BB32" s="10"/>
      <c r="BC32" s="10"/>
      <c r="BD32" s="10"/>
      <c r="BE32" s="11"/>
      <c r="BF32" s="85"/>
      <c r="BG32" s="5"/>
      <c r="BH32" s="9"/>
      <c r="BI32" s="9"/>
      <c r="BJ32" s="9"/>
      <c r="BK32" s="9"/>
      <c r="BL32" s="9"/>
      <c r="BM32" s="9"/>
      <c r="BN32" s="9"/>
      <c r="BO32" s="10"/>
      <c r="BP32" s="10"/>
      <c r="BQ32" s="10"/>
      <c r="BR32" s="10"/>
      <c r="BS32" s="11"/>
      <c r="BT32" s="85"/>
      <c r="BU32" s="5"/>
      <c r="BV32" s="9"/>
      <c r="BW32" s="9"/>
      <c r="BX32" s="9"/>
      <c r="BY32" s="9"/>
      <c r="BZ32" s="9"/>
      <c r="CA32" s="9"/>
      <c r="CB32" s="10"/>
      <c r="CC32" s="10"/>
      <c r="CD32" s="10"/>
      <c r="CE32" s="10"/>
      <c r="CF32" s="10"/>
      <c r="CG32" s="11"/>
      <c r="CH32" s="61"/>
      <c r="CI32" s="182">
        <v>1200</v>
      </c>
      <c r="CJ32" s="52"/>
      <c r="CK32" s="341">
        <v>40</v>
      </c>
      <c r="CL32" s="213">
        <v>1300</v>
      </c>
      <c r="CM32" s="213" t="s">
        <v>69</v>
      </c>
      <c r="CN32" s="339" t="s">
        <v>65</v>
      </c>
      <c r="CO32" s="339" t="s">
        <v>68</v>
      </c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 s="119" customFormat="1" ht="11.45" customHeight="1" x14ac:dyDescent="0.2">
      <c r="A33" s="182"/>
      <c r="B33" s="44"/>
      <c r="C33" s="12"/>
      <c r="D33" s="13"/>
      <c r="E33" s="13"/>
      <c r="F33" s="14"/>
      <c r="G33" s="14"/>
      <c r="H33" s="14"/>
      <c r="I33" s="14"/>
      <c r="J33" s="14"/>
      <c r="K33" s="14"/>
      <c r="L33" s="14"/>
      <c r="M33" s="14"/>
      <c r="N33" s="14"/>
      <c r="O33" s="15"/>
      <c r="P33" s="85"/>
      <c r="Q33" s="12"/>
      <c r="R33" s="13"/>
      <c r="S33" s="13"/>
      <c r="T33" s="13"/>
      <c r="U33" s="13"/>
      <c r="V33" s="13"/>
      <c r="W33" s="13"/>
      <c r="X33" s="13"/>
      <c r="Y33" s="13"/>
      <c r="Z33" s="13"/>
      <c r="AA33" s="14"/>
      <c r="AB33" s="14"/>
      <c r="AC33" s="15"/>
      <c r="AD33" s="85"/>
      <c r="AE33" s="12"/>
      <c r="AF33" s="13"/>
      <c r="AG33" s="13"/>
      <c r="AH33" s="13"/>
      <c r="AI33" s="13"/>
      <c r="AJ33" s="13"/>
      <c r="AK33" s="13"/>
      <c r="AL33" s="13"/>
      <c r="AM33" s="14"/>
      <c r="AN33" s="14"/>
      <c r="AO33" s="14"/>
      <c r="AP33" s="14"/>
      <c r="AQ33" s="15"/>
      <c r="AR33" s="85"/>
      <c r="AS33" s="12"/>
      <c r="AT33" s="13"/>
      <c r="AU33" s="13"/>
      <c r="AV33" s="13"/>
      <c r="AW33" s="13"/>
      <c r="AX33" s="13"/>
      <c r="AY33" s="13"/>
      <c r="AZ33" s="14"/>
      <c r="BA33" s="14"/>
      <c r="BB33" s="14"/>
      <c r="BC33" s="14"/>
      <c r="BD33" s="14"/>
      <c r="BE33" s="15"/>
      <c r="BF33" s="85"/>
      <c r="BG33" s="12"/>
      <c r="BH33" s="13"/>
      <c r="BI33" s="13"/>
      <c r="BJ33" s="13"/>
      <c r="BK33" s="13"/>
      <c r="BL33" s="13"/>
      <c r="BM33" s="13"/>
      <c r="BN33" s="13"/>
      <c r="BO33" s="14"/>
      <c r="BP33" s="14"/>
      <c r="BQ33" s="14"/>
      <c r="BR33" s="14"/>
      <c r="BS33" s="15"/>
      <c r="BT33" s="85"/>
      <c r="BU33" s="12"/>
      <c r="BV33" s="13"/>
      <c r="BW33" s="13"/>
      <c r="BX33" s="13"/>
      <c r="BY33" s="13"/>
      <c r="BZ33" s="13"/>
      <c r="CA33" s="13"/>
      <c r="CB33" s="14"/>
      <c r="CC33" s="14"/>
      <c r="CD33" s="14"/>
      <c r="CE33" s="14"/>
      <c r="CF33" s="14"/>
      <c r="CG33" s="15"/>
      <c r="CH33" s="61"/>
      <c r="CI33" s="182"/>
      <c r="CJ33" s="52"/>
      <c r="CK33" s="342"/>
      <c r="CL33" s="214"/>
      <c r="CM33" s="214"/>
      <c r="CN33" s="340"/>
      <c r="CO33" s="340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 s="119" customFormat="1" ht="11.45" customHeight="1" x14ac:dyDescent="0.2">
      <c r="A34" s="182"/>
      <c r="B34" s="44"/>
      <c r="C34" s="5"/>
      <c r="D34" s="9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1"/>
      <c r="P34" s="85"/>
      <c r="Q34" s="5"/>
      <c r="R34" s="9"/>
      <c r="S34" s="9"/>
      <c r="T34" s="9"/>
      <c r="U34" s="9"/>
      <c r="V34" s="9"/>
      <c r="W34" s="9"/>
      <c r="X34" s="9"/>
      <c r="Y34" s="9"/>
      <c r="Z34" s="9"/>
      <c r="AA34" s="10"/>
      <c r="AB34" s="10"/>
      <c r="AC34" s="11"/>
      <c r="AD34" s="85"/>
      <c r="AE34" s="5"/>
      <c r="AF34" s="9"/>
      <c r="AG34" s="9"/>
      <c r="AH34" s="9"/>
      <c r="AI34" s="9"/>
      <c r="AJ34" s="9"/>
      <c r="AK34" s="9"/>
      <c r="AL34" s="9"/>
      <c r="AM34" s="10"/>
      <c r="AN34" s="10"/>
      <c r="AO34" s="10"/>
      <c r="AP34" s="10"/>
      <c r="AQ34" s="11"/>
      <c r="AR34" s="85"/>
      <c r="AS34" s="5"/>
      <c r="AT34" s="9"/>
      <c r="AU34" s="9"/>
      <c r="AV34" s="9"/>
      <c r="AW34" s="9"/>
      <c r="AX34" s="9"/>
      <c r="AY34" s="9"/>
      <c r="AZ34" s="10"/>
      <c r="BA34" s="10"/>
      <c r="BB34" s="10"/>
      <c r="BC34" s="10"/>
      <c r="BD34" s="10"/>
      <c r="BE34" s="11"/>
      <c r="BF34" s="85"/>
      <c r="BG34" s="5"/>
      <c r="BH34" s="9"/>
      <c r="BI34" s="9"/>
      <c r="BJ34" s="9"/>
      <c r="BK34" s="9"/>
      <c r="BL34" s="9"/>
      <c r="BM34" s="9"/>
      <c r="BN34" s="9"/>
      <c r="BO34" s="10"/>
      <c r="BP34" s="10"/>
      <c r="BQ34" s="10"/>
      <c r="BR34" s="10"/>
      <c r="BS34" s="11"/>
      <c r="BT34" s="85"/>
      <c r="BU34" s="5"/>
      <c r="BV34" s="9"/>
      <c r="BW34" s="9"/>
      <c r="BX34" s="9"/>
      <c r="BY34" s="9"/>
      <c r="BZ34" s="9"/>
      <c r="CA34" s="9"/>
      <c r="CB34" s="10"/>
      <c r="CC34" s="10"/>
      <c r="CD34" s="10"/>
      <c r="CE34" s="10"/>
      <c r="CF34" s="10"/>
      <c r="CG34" s="11"/>
      <c r="CH34" s="61"/>
      <c r="CI34" s="182"/>
      <c r="CJ34" s="52"/>
      <c r="CK34" s="341">
        <v>41</v>
      </c>
      <c r="CL34" s="213">
        <v>1630</v>
      </c>
      <c r="CM34" s="213" t="s">
        <v>26</v>
      </c>
      <c r="CN34" s="339" t="s">
        <v>65</v>
      </c>
      <c r="CO34" s="339" t="s">
        <v>12</v>
      </c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 s="119" customFormat="1" ht="11.45" customHeight="1" x14ac:dyDescent="0.2">
      <c r="A35" s="182"/>
      <c r="B35" s="44"/>
      <c r="C35" s="12"/>
      <c r="D35" s="13"/>
      <c r="E35" s="13"/>
      <c r="F35" s="14"/>
      <c r="G35" s="14"/>
      <c r="H35" s="14"/>
      <c r="I35" s="14"/>
      <c r="J35" s="14"/>
      <c r="K35" s="14"/>
      <c r="L35" s="14"/>
      <c r="M35" s="14"/>
      <c r="N35" s="14"/>
      <c r="O35" s="15"/>
      <c r="P35" s="85"/>
      <c r="Q35" s="12"/>
      <c r="R35" s="13"/>
      <c r="S35" s="13"/>
      <c r="T35" s="13"/>
      <c r="U35" s="13"/>
      <c r="V35" s="13"/>
      <c r="W35" s="13"/>
      <c r="X35" s="13"/>
      <c r="Y35" s="13"/>
      <c r="Z35" s="13"/>
      <c r="AA35" s="14"/>
      <c r="AB35" s="14"/>
      <c r="AC35" s="15"/>
      <c r="AD35" s="85"/>
      <c r="AE35" s="12"/>
      <c r="AF35" s="13"/>
      <c r="AG35" s="13"/>
      <c r="AH35" s="13"/>
      <c r="AI35" s="13"/>
      <c r="AJ35" s="13"/>
      <c r="AK35" s="13"/>
      <c r="AL35" s="13"/>
      <c r="AM35" s="14"/>
      <c r="AN35" s="14"/>
      <c r="AO35" s="14"/>
      <c r="AP35" s="14"/>
      <c r="AQ35" s="15"/>
      <c r="AR35" s="85"/>
      <c r="AS35" s="12"/>
      <c r="AT35" s="13"/>
      <c r="AU35" s="13"/>
      <c r="AV35" s="13"/>
      <c r="AW35" s="13"/>
      <c r="AX35" s="13"/>
      <c r="AY35" s="13"/>
      <c r="AZ35" s="14"/>
      <c r="BA35" s="14"/>
      <c r="BB35" s="14"/>
      <c r="BC35" s="14"/>
      <c r="BD35" s="14"/>
      <c r="BE35" s="15"/>
      <c r="BF35" s="85"/>
      <c r="BG35" s="12"/>
      <c r="BH35" s="13"/>
      <c r="BI35" s="13"/>
      <c r="BJ35" s="13"/>
      <c r="BK35" s="13"/>
      <c r="BL35" s="13"/>
      <c r="BM35" s="13"/>
      <c r="BN35" s="13"/>
      <c r="BO35" s="14"/>
      <c r="BP35" s="14"/>
      <c r="BQ35" s="14"/>
      <c r="BR35" s="14"/>
      <c r="BS35" s="15"/>
      <c r="BT35" s="85"/>
      <c r="BU35" s="12"/>
      <c r="BV35" s="13"/>
      <c r="BW35" s="13"/>
      <c r="BX35" s="13"/>
      <c r="BY35" s="13"/>
      <c r="BZ35" s="13"/>
      <c r="CA35" s="13"/>
      <c r="CB35" s="14"/>
      <c r="CC35" s="14"/>
      <c r="CD35" s="14"/>
      <c r="CE35" s="14"/>
      <c r="CF35" s="14"/>
      <c r="CG35" s="15"/>
      <c r="CH35" s="61"/>
      <c r="CI35" s="182"/>
      <c r="CJ35" s="52"/>
      <c r="CK35" s="342"/>
      <c r="CL35" s="214"/>
      <c r="CM35" s="214"/>
      <c r="CN35" s="340"/>
      <c r="CO35" s="340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 s="119" customFormat="1" ht="11.45" customHeight="1" x14ac:dyDescent="0.2">
      <c r="A36" s="182">
        <v>1300</v>
      </c>
      <c r="B36" s="44"/>
      <c r="C36" s="5"/>
      <c r="D36" s="9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1"/>
      <c r="P36" s="85"/>
      <c r="Q36" s="5"/>
      <c r="R36" s="9"/>
      <c r="S36" s="9"/>
      <c r="T36" s="9"/>
      <c r="U36" s="9"/>
      <c r="V36" s="9"/>
      <c r="W36" s="9"/>
      <c r="X36" s="9"/>
      <c r="Y36" s="9"/>
      <c r="Z36" s="9"/>
      <c r="AA36" s="10"/>
      <c r="AB36" s="10"/>
      <c r="AC36" s="11"/>
      <c r="AD36" s="85"/>
      <c r="AE36" s="5"/>
      <c r="AF36" s="9"/>
      <c r="AG36" s="9"/>
      <c r="AH36" s="9"/>
      <c r="AI36" s="9"/>
      <c r="AJ36" s="9"/>
      <c r="AK36" s="9"/>
      <c r="AL36" s="9"/>
      <c r="AM36" s="10"/>
      <c r="AN36" s="10"/>
      <c r="AO36" s="10"/>
      <c r="AP36" s="10"/>
      <c r="AQ36" s="11"/>
      <c r="AR36" s="85"/>
      <c r="AS36" s="5"/>
      <c r="AT36" s="9"/>
      <c r="AU36" s="9"/>
      <c r="AV36" s="9"/>
      <c r="AW36" s="9"/>
      <c r="AX36" s="9"/>
      <c r="AY36" s="9"/>
      <c r="AZ36" s="10"/>
      <c r="BA36" s="10"/>
      <c r="BB36" s="10"/>
      <c r="BC36" s="10"/>
      <c r="BD36" s="10"/>
      <c r="BE36" s="11"/>
      <c r="BF36" s="85"/>
      <c r="BG36" s="5"/>
      <c r="BH36" s="9"/>
      <c r="BI36" s="9"/>
      <c r="BJ36" s="9"/>
      <c r="BK36" s="9"/>
      <c r="BL36" s="9"/>
      <c r="BM36" s="9"/>
      <c r="BN36" s="9"/>
      <c r="BO36" s="10"/>
      <c r="BP36" s="10"/>
      <c r="BQ36" s="10"/>
      <c r="BR36" s="10"/>
      <c r="BS36" s="11"/>
      <c r="BT36" s="85"/>
      <c r="BU36" s="5"/>
      <c r="BV36" s="9"/>
      <c r="BW36" s="9"/>
      <c r="BX36" s="9"/>
      <c r="BY36" s="9"/>
      <c r="BZ36" s="9"/>
      <c r="CA36" s="9"/>
      <c r="CB36" s="10"/>
      <c r="CC36" s="10"/>
      <c r="CD36" s="10"/>
      <c r="CE36" s="10"/>
      <c r="CF36" s="10"/>
      <c r="CG36" s="11"/>
      <c r="CH36" s="61"/>
      <c r="CI36" s="182">
        <v>1300</v>
      </c>
      <c r="CJ36" s="52"/>
      <c r="CK36" s="335"/>
      <c r="CL36" s="266"/>
      <c r="CM36" s="266"/>
      <c r="CN36" s="288"/>
      <c r="CO36" s="288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7" spans="1:143" s="119" customFormat="1" ht="11.45" customHeight="1" x14ac:dyDescent="0.2">
      <c r="A37" s="182"/>
      <c r="B37" s="44"/>
      <c r="C37" s="12"/>
      <c r="D37" s="13"/>
      <c r="E37" s="13"/>
      <c r="F37" s="14"/>
      <c r="G37" s="14"/>
      <c r="H37" s="14"/>
      <c r="I37" s="14"/>
      <c r="J37" s="14"/>
      <c r="K37" s="14"/>
      <c r="L37" s="14"/>
      <c r="M37" s="14"/>
      <c r="N37" s="14"/>
      <c r="O37" s="15"/>
      <c r="P37" s="85"/>
      <c r="Q37" s="12"/>
      <c r="R37" s="13"/>
      <c r="S37" s="13"/>
      <c r="T37" s="13"/>
      <c r="U37" s="13"/>
      <c r="V37" s="13"/>
      <c r="W37" s="13"/>
      <c r="X37" s="13"/>
      <c r="Y37" s="13"/>
      <c r="Z37" s="13"/>
      <c r="AA37" s="14"/>
      <c r="AB37" s="14"/>
      <c r="AC37" s="15"/>
      <c r="AD37" s="85"/>
      <c r="AE37" s="12"/>
      <c r="AF37" s="13"/>
      <c r="AG37" s="13"/>
      <c r="AH37" s="13"/>
      <c r="AI37" s="13"/>
      <c r="AJ37" s="13"/>
      <c r="AK37" s="13"/>
      <c r="AL37" s="13"/>
      <c r="AM37" s="14"/>
      <c r="AN37" s="14"/>
      <c r="AO37" s="14"/>
      <c r="AP37" s="14"/>
      <c r="AQ37" s="15"/>
      <c r="AR37" s="85"/>
      <c r="AS37" s="12"/>
      <c r="AT37" s="13"/>
      <c r="AU37" s="13"/>
      <c r="AV37" s="13"/>
      <c r="AW37" s="13"/>
      <c r="AX37" s="13"/>
      <c r="AY37" s="13"/>
      <c r="AZ37" s="14"/>
      <c r="BA37" s="14"/>
      <c r="BB37" s="14"/>
      <c r="BC37" s="14"/>
      <c r="BD37" s="14"/>
      <c r="BE37" s="15"/>
      <c r="BF37" s="85"/>
      <c r="BG37" s="12"/>
      <c r="BH37" s="13"/>
      <c r="BI37" s="13"/>
      <c r="BJ37" s="13"/>
      <c r="BK37" s="13"/>
      <c r="BL37" s="13"/>
      <c r="BM37" s="13"/>
      <c r="BN37" s="13"/>
      <c r="BO37" s="14"/>
      <c r="BP37" s="14"/>
      <c r="BQ37" s="14"/>
      <c r="BR37" s="14"/>
      <c r="BS37" s="15"/>
      <c r="BT37" s="85"/>
      <c r="BU37" s="12"/>
      <c r="BV37" s="13"/>
      <c r="BW37" s="13"/>
      <c r="BX37" s="13"/>
      <c r="BY37" s="13"/>
      <c r="BZ37" s="13"/>
      <c r="CA37" s="13"/>
      <c r="CB37" s="14"/>
      <c r="CC37" s="14"/>
      <c r="CD37" s="14"/>
      <c r="CE37" s="14"/>
      <c r="CF37" s="14"/>
      <c r="CG37" s="15"/>
      <c r="CH37" s="61"/>
      <c r="CI37" s="182"/>
      <c r="CJ37" s="52"/>
      <c r="CK37" s="336"/>
      <c r="CL37" s="267"/>
      <c r="CM37" s="267"/>
      <c r="CN37" s="289"/>
      <c r="CO37" s="289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</row>
    <row r="38" spans="1:143" s="119" customFormat="1" ht="11.45" customHeight="1" x14ac:dyDescent="0.2">
      <c r="A38" s="182"/>
      <c r="B38" s="44"/>
      <c r="C38" s="5"/>
      <c r="D38" s="9"/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1"/>
      <c r="P38" s="85"/>
      <c r="Q38" s="5"/>
      <c r="R38" s="9"/>
      <c r="S38" s="9"/>
      <c r="T38" s="9"/>
      <c r="U38" s="9"/>
      <c r="V38" s="9"/>
      <c r="W38" s="9"/>
      <c r="X38" s="9"/>
      <c r="Y38" s="9"/>
      <c r="Z38" s="9"/>
      <c r="AA38" s="10"/>
      <c r="AB38" s="10"/>
      <c r="AC38" s="11"/>
      <c r="AD38" s="85"/>
      <c r="AE38" s="5"/>
      <c r="AF38" s="9"/>
      <c r="AG38" s="9"/>
      <c r="AH38" s="9"/>
      <c r="AI38" s="9"/>
      <c r="AJ38" s="9"/>
      <c r="AK38" s="9"/>
      <c r="AL38" s="9"/>
      <c r="AM38" s="10"/>
      <c r="AN38" s="10"/>
      <c r="AO38" s="10"/>
      <c r="AP38" s="10"/>
      <c r="AQ38" s="11"/>
      <c r="AR38" s="85"/>
      <c r="AS38" s="5"/>
      <c r="AT38" s="9"/>
      <c r="AU38" s="9"/>
      <c r="AV38" s="9"/>
      <c r="AW38" s="9"/>
      <c r="AX38" s="9"/>
      <c r="AY38" s="9"/>
      <c r="AZ38" s="10"/>
      <c r="BA38" s="10"/>
      <c r="BB38" s="10"/>
      <c r="BC38" s="10"/>
      <c r="BD38" s="10"/>
      <c r="BE38" s="11"/>
      <c r="BF38" s="85"/>
      <c r="BG38" s="5"/>
      <c r="BH38" s="9"/>
      <c r="BI38" s="9"/>
      <c r="BJ38" s="9"/>
      <c r="BK38" s="9"/>
      <c r="BL38" s="9"/>
      <c r="BM38" s="9"/>
      <c r="BN38" s="9"/>
      <c r="BO38" s="10"/>
      <c r="BP38" s="10"/>
      <c r="BQ38" s="10"/>
      <c r="BR38" s="10"/>
      <c r="BS38" s="11"/>
      <c r="BT38" s="85"/>
      <c r="BU38" s="5"/>
      <c r="BV38" s="9"/>
      <c r="BW38" s="9"/>
      <c r="BX38" s="9"/>
      <c r="BY38" s="9"/>
      <c r="BZ38" s="9"/>
      <c r="CA38" s="9"/>
      <c r="CB38" s="10"/>
      <c r="CC38" s="10"/>
      <c r="CD38" s="10"/>
      <c r="CE38" s="10"/>
      <c r="CF38" s="10"/>
      <c r="CG38" s="11"/>
      <c r="CH38" s="61"/>
      <c r="CI38" s="182"/>
      <c r="CJ38" s="52"/>
      <c r="CK38" s="337"/>
      <c r="CL38" s="266"/>
      <c r="CM38" s="266"/>
      <c r="CN38" s="288"/>
      <c r="CO38" s="288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</row>
    <row r="39" spans="1:143" s="119" customFormat="1" ht="11.45" customHeight="1" x14ac:dyDescent="0.2">
      <c r="A39" s="182"/>
      <c r="B39" s="44"/>
      <c r="C39" s="12"/>
      <c r="D39" s="13"/>
      <c r="E39" s="13"/>
      <c r="F39" s="14"/>
      <c r="G39" s="14"/>
      <c r="H39" s="14"/>
      <c r="I39" s="14"/>
      <c r="J39" s="14"/>
      <c r="K39" s="14"/>
      <c r="L39" s="14"/>
      <c r="M39" s="14"/>
      <c r="N39" s="14"/>
      <c r="O39" s="15"/>
      <c r="P39" s="85"/>
      <c r="Q39" s="12"/>
      <c r="R39" s="13"/>
      <c r="S39" s="13"/>
      <c r="T39" s="13"/>
      <c r="U39" s="13"/>
      <c r="V39" s="13"/>
      <c r="W39" s="13"/>
      <c r="X39" s="13"/>
      <c r="Y39" s="13"/>
      <c r="Z39" s="13"/>
      <c r="AA39" s="14"/>
      <c r="AB39" s="14"/>
      <c r="AC39" s="15"/>
      <c r="AD39" s="85"/>
      <c r="AE39" s="12"/>
      <c r="AF39" s="13"/>
      <c r="AG39" s="13"/>
      <c r="AH39" s="13"/>
      <c r="AI39" s="13"/>
      <c r="AJ39" s="13"/>
      <c r="AK39" s="13"/>
      <c r="AL39" s="13"/>
      <c r="AM39" s="14"/>
      <c r="AN39" s="14"/>
      <c r="AO39" s="14"/>
      <c r="AP39" s="14"/>
      <c r="AQ39" s="15"/>
      <c r="AR39" s="85"/>
      <c r="AS39" s="12"/>
      <c r="AT39" s="13"/>
      <c r="AU39" s="13"/>
      <c r="AV39" s="13"/>
      <c r="AW39" s="13"/>
      <c r="AX39" s="13"/>
      <c r="AY39" s="13"/>
      <c r="AZ39" s="14"/>
      <c r="BA39" s="14"/>
      <c r="BB39" s="14"/>
      <c r="BC39" s="14"/>
      <c r="BD39" s="14"/>
      <c r="BE39" s="15"/>
      <c r="BF39" s="85"/>
      <c r="BG39" s="12"/>
      <c r="BH39" s="13"/>
      <c r="BI39" s="13"/>
      <c r="BJ39" s="13"/>
      <c r="BK39" s="13"/>
      <c r="BL39" s="13"/>
      <c r="BM39" s="13"/>
      <c r="BN39" s="13"/>
      <c r="BO39" s="14"/>
      <c r="BP39" s="14"/>
      <c r="BQ39" s="14"/>
      <c r="BR39" s="14"/>
      <c r="BS39" s="15"/>
      <c r="BT39" s="85"/>
      <c r="BU39" s="25"/>
      <c r="BV39" s="6"/>
      <c r="BW39" s="6"/>
      <c r="BX39" s="6"/>
      <c r="BY39" s="6"/>
      <c r="BZ39" s="6"/>
      <c r="CA39" s="6"/>
      <c r="CB39" s="86"/>
      <c r="CC39" s="86"/>
      <c r="CD39" s="86"/>
      <c r="CE39" s="86"/>
      <c r="CF39" s="86"/>
      <c r="CG39" s="87"/>
      <c r="CH39" s="61"/>
      <c r="CI39" s="182"/>
      <c r="CJ39" s="52"/>
      <c r="CK39" s="338"/>
      <c r="CL39" s="267"/>
      <c r="CM39" s="267"/>
      <c r="CN39" s="289"/>
      <c r="CO39" s="289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</row>
    <row r="40" spans="1:143" s="119" customFormat="1" ht="11.45" customHeight="1" x14ac:dyDescent="0.2">
      <c r="A40" s="182">
        <v>1400</v>
      </c>
      <c r="B40" s="44"/>
      <c r="C40" s="5"/>
      <c r="D40" s="9"/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1"/>
      <c r="P40" s="85"/>
      <c r="Q40" s="5"/>
      <c r="R40" s="9"/>
      <c r="S40" s="9"/>
      <c r="T40" s="9"/>
      <c r="U40" s="9"/>
      <c r="V40" s="9"/>
      <c r="W40" s="9"/>
      <c r="X40" s="9"/>
      <c r="Y40" s="9"/>
      <c r="Z40" s="9"/>
      <c r="AA40" s="10"/>
      <c r="AB40" s="10"/>
      <c r="AC40" s="11"/>
      <c r="AD40" s="85"/>
      <c r="AE40" s="5"/>
      <c r="AF40" s="9"/>
      <c r="AG40" s="9"/>
      <c r="AH40" s="9"/>
      <c r="AI40" s="9"/>
      <c r="AJ40" s="9"/>
      <c r="AK40" s="9"/>
      <c r="AL40" s="9"/>
      <c r="AM40" s="10"/>
      <c r="AN40" s="10"/>
      <c r="AO40" s="10"/>
      <c r="AP40" s="10"/>
      <c r="AQ40" s="11"/>
      <c r="AR40" s="85"/>
      <c r="AS40" s="5"/>
      <c r="AT40" s="9"/>
      <c r="AU40" s="9"/>
      <c r="AV40" s="9"/>
      <c r="AW40" s="9"/>
      <c r="AX40" s="9"/>
      <c r="AY40" s="9"/>
      <c r="AZ40" s="10"/>
      <c r="BA40" s="10"/>
      <c r="BB40" s="10"/>
      <c r="BC40" s="10"/>
      <c r="BD40" s="10"/>
      <c r="BE40" s="11"/>
      <c r="BF40" s="85"/>
      <c r="BG40" s="5"/>
      <c r="BH40" s="9"/>
      <c r="BI40" s="9"/>
      <c r="BJ40" s="9"/>
      <c r="BK40" s="9"/>
      <c r="BL40" s="9"/>
      <c r="BM40" s="9"/>
      <c r="BN40" s="9"/>
      <c r="BO40" s="10"/>
      <c r="BP40" s="10"/>
      <c r="BQ40" s="10"/>
      <c r="BR40" s="10"/>
      <c r="BS40" s="11"/>
      <c r="BT40" s="85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9"/>
      <c r="CH40" s="61"/>
      <c r="CI40" s="182">
        <v>1400</v>
      </c>
      <c r="CJ40" s="52"/>
      <c r="CK40" s="335"/>
      <c r="CL40" s="266"/>
      <c r="CM40" s="266"/>
      <c r="CN40" s="288"/>
      <c r="CO40" s="288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</row>
    <row r="41" spans="1:143" s="119" customFormat="1" ht="11.45" customHeight="1" x14ac:dyDescent="0.2">
      <c r="A41" s="182"/>
      <c r="B41" s="44"/>
      <c r="C41" s="12"/>
      <c r="D41" s="13"/>
      <c r="E41" s="13"/>
      <c r="F41" s="14"/>
      <c r="G41" s="14"/>
      <c r="H41" s="14"/>
      <c r="I41" s="14"/>
      <c r="J41" s="14"/>
      <c r="K41" s="14"/>
      <c r="L41" s="14"/>
      <c r="M41" s="14"/>
      <c r="N41" s="14"/>
      <c r="O41" s="15"/>
      <c r="P41" s="85"/>
      <c r="Q41" s="12"/>
      <c r="R41" s="13"/>
      <c r="S41" s="13"/>
      <c r="T41" s="13"/>
      <c r="U41" s="13"/>
      <c r="V41" s="13"/>
      <c r="W41" s="13"/>
      <c r="X41" s="13"/>
      <c r="Y41" s="13"/>
      <c r="Z41" s="13"/>
      <c r="AA41" s="14"/>
      <c r="AB41" s="14"/>
      <c r="AC41" s="15"/>
      <c r="AD41" s="85"/>
      <c r="AE41" s="12"/>
      <c r="AF41" s="13"/>
      <c r="AG41" s="13"/>
      <c r="AH41" s="13"/>
      <c r="AI41" s="13"/>
      <c r="AJ41" s="13"/>
      <c r="AK41" s="13"/>
      <c r="AL41" s="13"/>
      <c r="AM41" s="14"/>
      <c r="AN41" s="14"/>
      <c r="AO41" s="14"/>
      <c r="AP41" s="14"/>
      <c r="AQ41" s="15"/>
      <c r="AR41" s="85"/>
      <c r="AS41" s="12"/>
      <c r="AT41" s="13"/>
      <c r="AU41" s="13"/>
      <c r="AV41" s="13"/>
      <c r="AW41" s="13"/>
      <c r="AX41" s="13"/>
      <c r="AY41" s="13"/>
      <c r="AZ41" s="14"/>
      <c r="BA41" s="14"/>
      <c r="BB41" s="14"/>
      <c r="BC41" s="14"/>
      <c r="BD41" s="14"/>
      <c r="BE41" s="15"/>
      <c r="BF41" s="85"/>
      <c r="BG41" s="12"/>
      <c r="BH41" s="13"/>
      <c r="BI41" s="13"/>
      <c r="BJ41" s="13"/>
      <c r="BK41" s="13"/>
      <c r="BL41" s="13"/>
      <c r="BM41" s="13"/>
      <c r="BN41" s="13"/>
      <c r="BO41" s="14"/>
      <c r="BP41" s="14"/>
      <c r="BQ41" s="14"/>
      <c r="BR41" s="14"/>
      <c r="BS41" s="15"/>
      <c r="BT41" s="85"/>
      <c r="BU41" s="217" t="s">
        <v>42</v>
      </c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9"/>
      <c r="CH41" s="62"/>
      <c r="CI41" s="182"/>
      <c r="CJ41" s="52"/>
      <c r="CK41" s="336"/>
      <c r="CL41" s="267"/>
      <c r="CM41" s="267"/>
      <c r="CN41" s="289"/>
      <c r="CO41" s="289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</row>
    <row r="42" spans="1:143" s="119" customFormat="1" ht="11.45" customHeight="1" x14ac:dyDescent="0.2">
      <c r="A42" s="182"/>
      <c r="B42" s="44"/>
      <c r="C42" s="5"/>
      <c r="D42" s="9"/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1"/>
      <c r="P42" s="85"/>
      <c r="Q42" s="5"/>
      <c r="R42" s="9"/>
      <c r="S42" s="9"/>
      <c r="T42" s="9"/>
      <c r="U42" s="9"/>
      <c r="V42" s="9"/>
      <c r="W42" s="9"/>
      <c r="X42" s="9"/>
      <c r="Y42" s="9"/>
      <c r="Z42" s="9"/>
      <c r="AA42" s="10"/>
      <c r="AB42" s="10"/>
      <c r="AC42" s="11"/>
      <c r="AD42" s="85"/>
      <c r="AE42" s="5"/>
      <c r="AF42" s="9"/>
      <c r="AG42" s="9"/>
      <c r="AH42" s="9"/>
      <c r="AI42" s="9"/>
      <c r="AJ42" s="9"/>
      <c r="AK42" s="9"/>
      <c r="AL42" s="9"/>
      <c r="AM42" s="10"/>
      <c r="AN42" s="10"/>
      <c r="AO42" s="10"/>
      <c r="AP42" s="10"/>
      <c r="AQ42" s="11"/>
      <c r="AR42" s="85"/>
      <c r="AS42" s="5"/>
      <c r="AT42" s="9"/>
      <c r="AU42" s="9"/>
      <c r="AV42" s="9"/>
      <c r="AW42" s="9"/>
      <c r="AX42" s="9"/>
      <c r="AY42" s="9"/>
      <c r="AZ42" s="10"/>
      <c r="BA42" s="10"/>
      <c r="BB42" s="10"/>
      <c r="BC42" s="10"/>
      <c r="BD42" s="10"/>
      <c r="BE42" s="11"/>
      <c r="BF42" s="85"/>
      <c r="BG42" s="5"/>
      <c r="BH42" s="9"/>
      <c r="BI42" s="9"/>
      <c r="BJ42" s="9"/>
      <c r="BK42" s="9"/>
      <c r="BL42" s="9"/>
      <c r="BM42" s="9"/>
      <c r="BN42" s="9"/>
      <c r="BO42" s="10"/>
      <c r="BP42" s="10"/>
      <c r="BQ42" s="10"/>
      <c r="BR42" s="10"/>
      <c r="BS42" s="11"/>
      <c r="BT42" s="85"/>
      <c r="BU42" s="217"/>
      <c r="BV42" s="218"/>
      <c r="BW42" s="218"/>
      <c r="BX42" s="218"/>
      <c r="BY42" s="218"/>
      <c r="BZ42" s="218"/>
      <c r="CA42" s="218"/>
      <c r="CB42" s="218"/>
      <c r="CC42" s="218"/>
      <c r="CD42" s="218"/>
      <c r="CE42" s="218"/>
      <c r="CF42" s="218"/>
      <c r="CG42" s="219"/>
      <c r="CH42" s="62"/>
      <c r="CI42" s="182"/>
      <c r="CJ42" s="52"/>
      <c r="CK42" s="333"/>
      <c r="CL42" s="296"/>
      <c r="CM42" s="296"/>
      <c r="CN42" s="292"/>
      <c r="CO42" s="292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</row>
    <row r="43" spans="1:143" s="119" customFormat="1" ht="11.45" customHeight="1" x14ac:dyDescent="0.2">
      <c r="A43" s="182"/>
      <c r="B43" s="44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  <c r="O43" s="15"/>
      <c r="P43" s="85"/>
      <c r="Q43" s="12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  <c r="AC43" s="15"/>
      <c r="AD43" s="85"/>
      <c r="AE43" s="12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21"/>
      <c r="AR43" s="85"/>
      <c r="AS43" s="12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21"/>
      <c r="BF43" s="85"/>
      <c r="BG43" s="12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5"/>
      <c r="BT43" s="85"/>
      <c r="BU43" s="205">
        <v>42442</v>
      </c>
      <c r="BV43" s="206"/>
      <c r="BW43" s="206"/>
      <c r="BX43" s="206"/>
      <c r="BY43" s="206"/>
      <c r="BZ43" s="206"/>
      <c r="CA43" s="206"/>
      <c r="CB43" s="206"/>
      <c r="CC43" s="206"/>
      <c r="CD43" s="206"/>
      <c r="CE43" s="206"/>
      <c r="CF43" s="206"/>
      <c r="CG43" s="207"/>
      <c r="CH43" s="63"/>
      <c r="CI43" s="182"/>
      <c r="CJ43" s="52"/>
      <c r="CK43" s="334"/>
      <c r="CL43" s="297"/>
      <c r="CM43" s="297"/>
      <c r="CN43" s="293"/>
      <c r="CO43" s="29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</row>
    <row r="44" spans="1:143" s="119" customFormat="1" ht="11.45" customHeight="1" x14ac:dyDescent="0.2">
      <c r="A44" s="182">
        <v>1500</v>
      </c>
      <c r="B44" s="44"/>
      <c r="C44" s="25"/>
      <c r="D44" s="6"/>
      <c r="E44" s="6"/>
      <c r="F44" s="9"/>
      <c r="G44" s="9"/>
      <c r="H44" s="9"/>
      <c r="I44" s="9"/>
      <c r="J44" s="9"/>
      <c r="K44" s="9"/>
      <c r="L44" s="9"/>
      <c r="M44" s="9"/>
      <c r="N44" s="10"/>
      <c r="O44" s="11"/>
      <c r="P44" s="85"/>
      <c r="Q44" s="5"/>
      <c r="R44" s="6"/>
      <c r="S44" s="6"/>
      <c r="T44" s="6"/>
      <c r="U44" s="6"/>
      <c r="V44" s="6"/>
      <c r="W44" s="6"/>
      <c r="X44" s="6"/>
      <c r="Y44" s="6"/>
      <c r="Z44" s="6"/>
      <c r="AA44" s="9"/>
      <c r="AB44" s="10"/>
      <c r="AC44" s="11"/>
      <c r="AD44" s="85"/>
      <c r="AE44" s="5"/>
      <c r="AF44" s="6"/>
      <c r="AG44" s="6"/>
      <c r="AH44" s="6"/>
      <c r="AI44" s="6"/>
      <c r="AJ44" s="6"/>
      <c r="AK44" s="6"/>
      <c r="AL44" s="6"/>
      <c r="AM44" s="9"/>
      <c r="AN44" s="9"/>
      <c r="AO44" s="9"/>
      <c r="AP44" s="9"/>
      <c r="AQ44" s="11"/>
      <c r="AR44" s="85"/>
      <c r="AS44" s="25"/>
      <c r="AT44" s="6"/>
      <c r="AU44" s="6"/>
      <c r="AV44" s="6"/>
      <c r="AW44" s="6"/>
      <c r="AX44" s="6"/>
      <c r="AY44" s="6"/>
      <c r="AZ44" s="9"/>
      <c r="BA44" s="9"/>
      <c r="BB44" s="9"/>
      <c r="BC44" s="9"/>
      <c r="BD44" s="9"/>
      <c r="BE44" s="11"/>
      <c r="BF44" s="85"/>
      <c r="BG44" s="25"/>
      <c r="BH44" s="6"/>
      <c r="BI44" s="6"/>
      <c r="BJ44" s="6"/>
      <c r="BK44" s="6"/>
      <c r="BL44" s="6"/>
      <c r="BM44" s="6"/>
      <c r="BN44" s="6"/>
      <c r="BO44" s="9"/>
      <c r="BP44" s="9"/>
      <c r="BQ44" s="9"/>
      <c r="BR44" s="9"/>
      <c r="BS44" s="11"/>
      <c r="BT44" s="85"/>
      <c r="BU44" s="208"/>
      <c r="BV44" s="209"/>
      <c r="BW44" s="209"/>
      <c r="BX44" s="209"/>
      <c r="BY44" s="209"/>
      <c r="BZ44" s="209"/>
      <c r="CA44" s="209"/>
      <c r="CB44" s="209"/>
      <c r="CC44" s="209"/>
      <c r="CD44" s="209"/>
      <c r="CE44" s="209"/>
      <c r="CF44" s="209"/>
      <c r="CG44" s="210"/>
      <c r="CH44" s="63"/>
      <c r="CI44" s="182">
        <v>1500</v>
      </c>
      <c r="CJ44" s="52"/>
      <c r="CK44" s="333"/>
      <c r="CL44" s="296"/>
      <c r="CM44" s="296"/>
      <c r="CN44" s="292"/>
      <c r="CO44" s="292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</row>
    <row r="45" spans="1:143" s="119" customFormat="1" ht="11.45" customHeight="1" x14ac:dyDescent="0.2">
      <c r="A45" s="182"/>
      <c r="B45" s="44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4"/>
      <c r="O45" s="15"/>
      <c r="P45" s="85"/>
      <c r="Q45" s="12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15"/>
      <c r="AD45" s="85"/>
      <c r="AE45" s="12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5"/>
      <c r="AR45" s="85"/>
      <c r="AS45" s="12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5"/>
      <c r="BF45" s="85"/>
      <c r="BG45" s="12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5"/>
      <c r="BT45" s="85"/>
      <c r="BU45" s="12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5"/>
      <c r="CH45" s="61"/>
      <c r="CI45" s="182"/>
      <c r="CJ45" s="52"/>
      <c r="CK45" s="334"/>
      <c r="CL45" s="297"/>
      <c r="CM45" s="297"/>
      <c r="CN45" s="293"/>
      <c r="CO45" s="29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</row>
    <row r="46" spans="1:143" s="119" customFormat="1" ht="11.45" customHeight="1" x14ac:dyDescent="0.2">
      <c r="A46" s="182"/>
      <c r="B46" s="44"/>
      <c r="C46" s="25"/>
      <c r="D46" s="6"/>
      <c r="E46" s="6"/>
      <c r="F46" s="9"/>
      <c r="G46" s="9"/>
      <c r="H46" s="9"/>
      <c r="I46" s="9"/>
      <c r="J46" s="9"/>
      <c r="K46" s="9"/>
      <c r="L46" s="9"/>
      <c r="M46" s="9"/>
      <c r="N46" s="10"/>
      <c r="O46" s="11"/>
      <c r="P46" s="85"/>
      <c r="Q46" s="5"/>
      <c r="R46" s="6"/>
      <c r="S46" s="6"/>
      <c r="T46" s="6"/>
      <c r="U46" s="6"/>
      <c r="V46" s="6"/>
      <c r="W46" s="6"/>
      <c r="X46" s="6"/>
      <c r="Y46" s="6"/>
      <c r="Z46" s="6"/>
      <c r="AA46" s="9"/>
      <c r="AB46" s="10"/>
      <c r="AC46" s="11"/>
      <c r="AD46" s="85"/>
      <c r="AE46" s="5"/>
      <c r="AF46" s="6"/>
      <c r="AG46" s="6"/>
      <c r="AH46" s="6"/>
      <c r="AI46" s="6"/>
      <c r="AJ46" s="6"/>
      <c r="AK46" s="6"/>
      <c r="AL46" s="6"/>
      <c r="AM46" s="9"/>
      <c r="AN46" s="9"/>
      <c r="AO46" s="9"/>
      <c r="AP46" s="9"/>
      <c r="AQ46" s="11"/>
      <c r="AR46" s="85"/>
      <c r="AS46" s="25"/>
      <c r="AT46" s="6"/>
      <c r="AU46" s="6"/>
      <c r="AV46" s="6"/>
      <c r="AW46" s="6"/>
      <c r="AX46" s="6"/>
      <c r="AY46" s="6"/>
      <c r="AZ46" s="9"/>
      <c r="BA46" s="9"/>
      <c r="BB46" s="9"/>
      <c r="BC46" s="9"/>
      <c r="BD46" s="9"/>
      <c r="BE46" s="11"/>
      <c r="BF46" s="85"/>
      <c r="BG46" s="25"/>
      <c r="BH46" s="6"/>
      <c r="BI46" s="6"/>
      <c r="BJ46" s="6"/>
      <c r="BK46" s="6"/>
      <c r="BL46" s="6"/>
      <c r="BM46" s="6"/>
      <c r="BN46" s="6"/>
      <c r="BO46" s="9"/>
      <c r="BP46" s="9"/>
      <c r="BQ46" s="9"/>
      <c r="BR46" s="9"/>
      <c r="BS46" s="11"/>
      <c r="BT46" s="85"/>
      <c r="BU46" s="25"/>
      <c r="BV46" s="6"/>
      <c r="BW46" s="6"/>
      <c r="BX46" s="6"/>
      <c r="BY46" s="6"/>
      <c r="BZ46" s="6"/>
      <c r="CA46" s="6"/>
      <c r="CB46" s="9"/>
      <c r="CC46" s="9"/>
      <c r="CD46" s="9"/>
      <c r="CE46" s="9"/>
      <c r="CF46" s="9"/>
      <c r="CG46" s="11"/>
      <c r="CH46" s="61"/>
      <c r="CI46" s="182"/>
      <c r="CJ46" s="52"/>
      <c r="CK46" s="333"/>
      <c r="CL46" s="296"/>
      <c r="CM46" s="296"/>
      <c r="CN46" s="292"/>
      <c r="CO46" s="292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</row>
    <row r="47" spans="1:143" s="119" customFormat="1" ht="11.45" customHeight="1" x14ac:dyDescent="0.2">
      <c r="A47" s="182"/>
      <c r="B47" s="44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  <c r="O47" s="15"/>
      <c r="P47" s="85"/>
      <c r="Q47" s="12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4"/>
      <c r="AC47" s="15"/>
      <c r="AD47" s="85"/>
      <c r="AE47" s="12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5"/>
      <c r="AR47" s="85"/>
      <c r="AS47" s="12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5"/>
      <c r="BF47" s="85"/>
      <c r="BG47" s="12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5"/>
      <c r="BT47" s="85"/>
      <c r="BU47" s="12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5"/>
      <c r="CH47" s="61"/>
      <c r="CI47" s="182"/>
      <c r="CJ47" s="52"/>
      <c r="CK47" s="334"/>
      <c r="CL47" s="297"/>
      <c r="CM47" s="297"/>
      <c r="CN47" s="293"/>
      <c r="CO47" s="29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</row>
    <row r="48" spans="1:143" s="119" customFormat="1" ht="11.45" customHeight="1" x14ac:dyDescent="0.2">
      <c r="A48" s="182">
        <v>1600</v>
      </c>
      <c r="B48" s="44"/>
      <c r="C48" s="5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  <c r="O48" s="11"/>
      <c r="P48" s="85"/>
      <c r="Q48" s="5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11"/>
      <c r="AD48" s="85"/>
      <c r="AE48" s="5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11"/>
      <c r="AR48" s="85"/>
      <c r="AS48" s="5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11"/>
      <c r="BF48" s="85"/>
      <c r="BG48" s="5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11"/>
      <c r="BT48" s="85"/>
      <c r="BU48" s="5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11"/>
      <c r="CH48" s="61"/>
      <c r="CI48" s="182">
        <v>1600</v>
      </c>
      <c r="CJ48" s="52"/>
      <c r="CK48" s="333"/>
      <c r="CL48" s="296"/>
      <c r="CM48" s="296"/>
      <c r="CN48" s="292"/>
      <c r="CO48" s="292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</row>
    <row r="49" spans="1:143" s="119" customFormat="1" ht="11.45" customHeight="1" x14ac:dyDescent="0.2">
      <c r="A49" s="182"/>
      <c r="B49" s="44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4"/>
      <c r="O49" s="15"/>
      <c r="P49" s="85"/>
      <c r="Q49" s="12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4"/>
      <c r="AC49" s="15"/>
      <c r="AD49" s="85"/>
      <c r="AE49" s="12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5"/>
      <c r="AR49" s="85"/>
      <c r="AS49" s="12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5"/>
      <c r="BF49" s="85"/>
      <c r="BG49" s="12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5"/>
      <c r="BT49" s="85"/>
      <c r="BU49" s="12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5"/>
      <c r="CH49" s="61"/>
      <c r="CI49" s="182"/>
      <c r="CJ49" s="52"/>
      <c r="CK49" s="334"/>
      <c r="CL49" s="297"/>
      <c r="CM49" s="297"/>
      <c r="CN49" s="293"/>
      <c r="CO49" s="29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</row>
    <row r="50" spans="1:143" s="119" customFormat="1" ht="11.45" customHeight="1" x14ac:dyDescent="0.2">
      <c r="A50" s="182"/>
      <c r="B50" s="44"/>
      <c r="C50" s="25"/>
      <c r="D50" s="6"/>
      <c r="E50" s="6"/>
      <c r="F50" s="9"/>
      <c r="G50" s="9"/>
      <c r="H50" s="9"/>
      <c r="I50" s="9"/>
      <c r="J50" s="9"/>
      <c r="K50" s="9"/>
      <c r="L50" s="9"/>
      <c r="M50" s="9"/>
      <c r="N50" s="10"/>
      <c r="O50" s="11"/>
      <c r="P50" s="85"/>
      <c r="Q50" s="5"/>
      <c r="R50" s="6"/>
      <c r="S50" s="6"/>
      <c r="T50" s="6"/>
      <c r="U50" s="6"/>
      <c r="V50" s="6"/>
      <c r="W50" s="6"/>
      <c r="X50" s="6"/>
      <c r="Y50" s="6"/>
      <c r="Z50" s="6"/>
      <c r="AA50" s="9"/>
      <c r="AB50" s="10"/>
      <c r="AC50" s="11"/>
      <c r="AD50" s="85"/>
      <c r="AE50" s="5"/>
      <c r="AF50" s="6"/>
      <c r="AG50" s="6"/>
      <c r="AH50" s="6"/>
      <c r="AI50" s="6"/>
      <c r="AJ50" s="6"/>
      <c r="AK50" s="6"/>
      <c r="AL50" s="6"/>
      <c r="AM50" s="9"/>
      <c r="AN50" s="9"/>
      <c r="AO50" s="9"/>
      <c r="AP50" s="9"/>
      <c r="AQ50" s="26"/>
      <c r="AR50" s="85"/>
      <c r="AS50" s="25"/>
      <c r="AT50" s="6"/>
      <c r="AU50" s="6"/>
      <c r="AV50" s="6"/>
      <c r="AW50" s="6"/>
      <c r="AX50" s="6"/>
      <c r="AY50" s="6"/>
      <c r="AZ50" s="9"/>
      <c r="BA50" s="9"/>
      <c r="BB50" s="9"/>
      <c r="BC50" s="9"/>
      <c r="BD50" s="9"/>
      <c r="BE50" s="26"/>
      <c r="BF50" s="85"/>
      <c r="BG50" s="25"/>
      <c r="BH50" s="6"/>
      <c r="BI50" s="6"/>
      <c r="BJ50" s="6"/>
      <c r="BK50" s="6"/>
      <c r="BL50" s="6"/>
      <c r="BM50" s="6"/>
      <c r="BN50" s="6"/>
      <c r="BO50" s="9"/>
      <c r="BP50" s="9"/>
      <c r="BQ50" s="9"/>
      <c r="BR50" s="9"/>
      <c r="BS50" s="11"/>
      <c r="BT50" s="85"/>
      <c r="BU50" s="25"/>
      <c r="BV50" s="6"/>
      <c r="BW50" s="6"/>
      <c r="BX50" s="6"/>
      <c r="BY50" s="6"/>
      <c r="BZ50" s="6"/>
      <c r="CA50" s="6"/>
      <c r="CB50" s="9"/>
      <c r="CC50" s="9"/>
      <c r="CD50" s="9"/>
      <c r="CE50" s="9"/>
      <c r="CF50" s="9"/>
      <c r="CG50" s="26"/>
      <c r="CH50" s="64"/>
      <c r="CI50" s="182"/>
      <c r="CJ50" s="52"/>
      <c r="CK50" s="335"/>
      <c r="CL50" s="266"/>
      <c r="CM50" s="266"/>
      <c r="CN50" s="288"/>
      <c r="CO50" s="288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</row>
    <row r="51" spans="1:143" s="119" customFormat="1" ht="11.45" customHeight="1" x14ac:dyDescent="0.2">
      <c r="A51" s="182"/>
      <c r="B51" s="44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4"/>
      <c r="O51" s="15"/>
      <c r="P51" s="85"/>
      <c r="Q51" s="12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4"/>
      <c r="AC51" s="15"/>
      <c r="AD51" s="85"/>
      <c r="AE51" s="12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27"/>
      <c r="AR51" s="85"/>
      <c r="AS51" s="12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27"/>
      <c r="BF51" s="85"/>
      <c r="BG51" s="12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5"/>
      <c r="BT51" s="85"/>
      <c r="BU51" s="12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27"/>
      <c r="CH51" s="64"/>
      <c r="CI51" s="182"/>
      <c r="CJ51" s="52"/>
      <c r="CK51" s="336"/>
      <c r="CL51" s="267"/>
      <c r="CM51" s="267"/>
      <c r="CN51" s="289"/>
      <c r="CO51" s="289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</row>
    <row r="52" spans="1:143" s="119" customFormat="1" ht="11.45" customHeight="1" x14ac:dyDescent="0.2">
      <c r="A52" s="182">
        <v>1700</v>
      </c>
      <c r="B52" s="44"/>
      <c r="C52" s="25"/>
      <c r="D52" s="6"/>
      <c r="E52" s="6"/>
      <c r="F52" s="9"/>
      <c r="G52" s="9"/>
      <c r="H52" s="9"/>
      <c r="I52" s="9"/>
      <c r="J52" s="9"/>
      <c r="K52" s="9"/>
      <c r="L52" s="9"/>
      <c r="M52" s="9"/>
      <c r="N52" s="10"/>
      <c r="O52" s="11"/>
      <c r="P52" s="85"/>
      <c r="Q52" s="5"/>
      <c r="R52" s="6"/>
      <c r="S52" s="6"/>
      <c r="T52" s="6"/>
      <c r="U52" s="6"/>
      <c r="V52" s="6"/>
      <c r="W52" s="6"/>
      <c r="X52" s="6"/>
      <c r="Y52" s="6"/>
      <c r="Z52" s="6"/>
      <c r="AA52" s="9"/>
      <c r="AB52" s="10"/>
      <c r="AC52" s="11"/>
      <c r="AD52" s="85"/>
      <c r="AE52" s="5"/>
      <c r="AF52" s="6"/>
      <c r="AG52" s="6"/>
      <c r="AH52" s="6"/>
      <c r="AI52" s="6"/>
      <c r="AJ52" s="6"/>
      <c r="AK52" s="6"/>
      <c r="AL52" s="6"/>
      <c r="AM52" s="9"/>
      <c r="AN52" s="9"/>
      <c r="AO52" s="9"/>
      <c r="AP52" s="9"/>
      <c r="AQ52" s="11"/>
      <c r="AR52" s="85"/>
      <c r="AS52" s="25"/>
      <c r="AT52" s="6"/>
      <c r="AU52" s="6"/>
      <c r="AV52" s="6"/>
      <c r="AW52" s="6"/>
      <c r="AX52" s="6"/>
      <c r="AY52" s="6"/>
      <c r="AZ52" s="9"/>
      <c r="BA52" s="9"/>
      <c r="BB52" s="9"/>
      <c r="BC52" s="9"/>
      <c r="BD52" s="9"/>
      <c r="BE52" s="11"/>
      <c r="BF52" s="85"/>
      <c r="BG52" s="25"/>
      <c r="BH52" s="6"/>
      <c r="BI52" s="6"/>
      <c r="BJ52" s="6"/>
      <c r="BK52" s="6"/>
      <c r="BL52" s="6"/>
      <c r="BM52" s="6"/>
      <c r="BN52" s="6"/>
      <c r="BO52" s="9"/>
      <c r="BP52" s="9"/>
      <c r="BQ52" s="9"/>
      <c r="BR52" s="9"/>
      <c r="BS52" s="11"/>
      <c r="BT52" s="85"/>
      <c r="BU52" s="25"/>
      <c r="BV52" s="6"/>
      <c r="BW52" s="6"/>
      <c r="BX52" s="6"/>
      <c r="BY52" s="6"/>
      <c r="BZ52" s="6"/>
      <c r="CA52" s="6"/>
      <c r="CB52" s="9"/>
      <c r="CC52" s="9"/>
      <c r="CD52" s="9"/>
      <c r="CE52" s="9"/>
      <c r="CF52" s="9"/>
      <c r="CG52" s="11"/>
      <c r="CH52" s="61"/>
      <c r="CI52" s="182">
        <v>1700</v>
      </c>
      <c r="CJ52" s="52"/>
      <c r="CK52" s="122"/>
      <c r="CL52" s="59"/>
      <c r="CM52" s="59"/>
      <c r="CN52" s="59"/>
      <c r="CO52" s="60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</row>
    <row r="53" spans="1:143" s="119" customFormat="1" ht="11.45" customHeight="1" x14ac:dyDescent="0.2">
      <c r="A53" s="182"/>
      <c r="B53" s="44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4"/>
      <c r="O53" s="15"/>
      <c r="P53" s="85"/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4"/>
      <c r="AC53" s="15"/>
      <c r="AD53" s="85"/>
      <c r="AE53" s="12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5"/>
      <c r="AR53" s="85"/>
      <c r="AS53" s="12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5"/>
      <c r="BF53" s="85"/>
      <c r="BG53" s="12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5"/>
      <c r="BT53" s="85"/>
      <c r="BU53" s="12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5"/>
      <c r="CH53" s="61"/>
      <c r="CI53" s="182"/>
      <c r="CJ53" s="52"/>
      <c r="CK53" s="187" t="s">
        <v>50</v>
      </c>
      <c r="CL53" s="188"/>
      <c r="CM53" s="188"/>
      <c r="CN53" s="188"/>
      <c r="CO53" s="189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</row>
    <row r="54" spans="1:143" s="119" customFormat="1" ht="11.45" customHeight="1" x14ac:dyDescent="0.2">
      <c r="A54" s="182"/>
      <c r="B54" s="44"/>
      <c r="C54" s="5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  <c r="O54" s="11"/>
      <c r="P54" s="85"/>
      <c r="Q54" s="5"/>
      <c r="R54" s="9"/>
      <c r="S54" s="9"/>
      <c r="T54" s="9"/>
      <c r="U54" s="9"/>
      <c r="V54" s="9"/>
      <c r="W54" s="9"/>
      <c r="X54" s="9"/>
      <c r="Y54" s="9"/>
      <c r="Z54" s="9"/>
      <c r="AA54" s="9"/>
      <c r="AB54" s="10"/>
      <c r="AC54" s="11"/>
      <c r="AD54" s="85"/>
      <c r="AE54" s="5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11"/>
      <c r="AR54" s="85"/>
      <c r="AS54" s="5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11"/>
      <c r="BF54" s="85"/>
      <c r="BG54" s="5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11"/>
      <c r="BT54" s="85"/>
      <c r="BU54" s="25"/>
      <c r="BV54" s="6"/>
      <c r="BW54" s="6"/>
      <c r="BX54" s="6"/>
      <c r="BY54" s="6"/>
      <c r="BZ54" s="6"/>
      <c r="CA54" s="6"/>
      <c r="CB54" s="9"/>
      <c r="CC54" s="9"/>
      <c r="CD54" s="9"/>
      <c r="CE54" s="9"/>
      <c r="CF54" s="9"/>
      <c r="CG54" s="11"/>
      <c r="CH54" s="61"/>
      <c r="CI54" s="182"/>
      <c r="CJ54" s="52"/>
      <c r="CK54" s="190"/>
      <c r="CL54" s="191"/>
      <c r="CM54" s="191"/>
      <c r="CN54" s="191"/>
      <c r="CO54" s="192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</row>
    <row r="55" spans="1:143" s="119" customFormat="1" ht="11.45" customHeight="1" x14ac:dyDescent="0.2">
      <c r="A55" s="182"/>
      <c r="B55" s="44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4"/>
      <c r="O55" s="15"/>
      <c r="P55" s="85"/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4"/>
      <c r="AC55" s="15"/>
      <c r="AD55" s="85"/>
      <c r="AE55" s="12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5"/>
      <c r="AR55" s="85"/>
      <c r="AS55" s="12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5"/>
      <c r="BF55" s="85"/>
      <c r="BG55" s="12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5"/>
      <c r="BT55" s="85"/>
      <c r="BU55" s="12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5"/>
      <c r="CH55" s="61"/>
      <c r="CI55" s="182"/>
      <c r="CJ55" s="52"/>
      <c r="CK55" s="321" t="s">
        <v>51</v>
      </c>
      <c r="CL55" s="322"/>
      <c r="CM55" s="322"/>
      <c r="CN55" s="322"/>
      <c r="CO55" s="32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</row>
    <row r="56" spans="1:143" s="119" customFormat="1" ht="11.45" customHeight="1" x14ac:dyDescent="0.2">
      <c r="A56" s="182">
        <v>1800</v>
      </c>
      <c r="B56" s="44"/>
      <c r="C56" s="5"/>
      <c r="D56" s="9"/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1"/>
      <c r="P56" s="85"/>
      <c r="Q56" s="5"/>
      <c r="R56" s="9"/>
      <c r="S56" s="9"/>
      <c r="T56" s="9"/>
      <c r="U56" s="9"/>
      <c r="V56" s="9"/>
      <c r="W56" s="9"/>
      <c r="X56" s="9"/>
      <c r="Y56" s="9"/>
      <c r="Z56" s="9"/>
      <c r="AA56" s="10"/>
      <c r="AB56" s="10"/>
      <c r="AC56" s="11"/>
      <c r="AD56" s="85"/>
      <c r="AE56" s="5"/>
      <c r="AF56" s="9"/>
      <c r="AG56" s="9"/>
      <c r="AH56" s="9"/>
      <c r="AI56" s="9"/>
      <c r="AJ56" s="9"/>
      <c r="AK56" s="9"/>
      <c r="AL56" s="9"/>
      <c r="AM56" s="10"/>
      <c r="AN56" s="10"/>
      <c r="AO56" s="10"/>
      <c r="AP56" s="10"/>
      <c r="AQ56" s="11"/>
      <c r="AR56" s="85"/>
      <c r="AS56" s="5"/>
      <c r="AT56" s="9"/>
      <c r="AU56" s="9"/>
      <c r="AV56" s="9"/>
      <c r="AW56" s="9"/>
      <c r="AX56" s="9"/>
      <c r="AY56" s="9"/>
      <c r="AZ56" s="10"/>
      <c r="BA56" s="10"/>
      <c r="BB56" s="10"/>
      <c r="BC56" s="10"/>
      <c r="BD56" s="10"/>
      <c r="BE56" s="11"/>
      <c r="BF56" s="85"/>
      <c r="BG56" s="5"/>
      <c r="BH56" s="9"/>
      <c r="BI56" s="9"/>
      <c r="BJ56" s="9"/>
      <c r="BK56" s="9"/>
      <c r="BL56" s="9"/>
      <c r="BM56" s="9"/>
      <c r="BN56" s="9"/>
      <c r="BO56" s="10"/>
      <c r="BP56" s="10"/>
      <c r="BQ56" s="10"/>
      <c r="BR56" s="10"/>
      <c r="BS56" s="11"/>
      <c r="BT56" s="85"/>
      <c r="BU56" s="25"/>
      <c r="BV56" s="6"/>
      <c r="BW56" s="6"/>
      <c r="BX56" s="6"/>
      <c r="BY56" s="6"/>
      <c r="BZ56" s="6"/>
      <c r="CA56" s="6"/>
      <c r="CB56" s="9"/>
      <c r="CC56" s="9"/>
      <c r="CD56" s="9"/>
      <c r="CE56" s="9"/>
      <c r="CF56" s="9"/>
      <c r="CG56" s="11"/>
      <c r="CH56" s="61"/>
      <c r="CI56" s="182">
        <v>1800</v>
      </c>
      <c r="CJ56" s="52"/>
      <c r="CK56" s="324"/>
      <c r="CL56" s="325"/>
      <c r="CM56" s="325"/>
      <c r="CN56" s="325"/>
      <c r="CO56" s="326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</row>
    <row r="57" spans="1:143" s="119" customFormat="1" ht="11.45" customHeight="1" x14ac:dyDescent="0.2">
      <c r="A57" s="182"/>
      <c r="B57" s="44"/>
      <c r="C57" s="12"/>
      <c r="D57" s="13"/>
      <c r="E57" s="13"/>
      <c r="F57" s="14"/>
      <c r="G57" s="14"/>
      <c r="H57" s="14"/>
      <c r="I57" s="14"/>
      <c r="J57" s="14"/>
      <c r="K57" s="14"/>
      <c r="L57" s="14"/>
      <c r="M57" s="14"/>
      <c r="N57" s="14"/>
      <c r="O57" s="15"/>
      <c r="P57" s="85"/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4"/>
      <c r="AB57" s="14"/>
      <c r="AC57" s="15"/>
      <c r="AD57" s="85"/>
      <c r="AE57" s="12"/>
      <c r="AF57" s="13"/>
      <c r="AG57" s="13"/>
      <c r="AH57" s="13"/>
      <c r="AI57" s="13"/>
      <c r="AJ57" s="13"/>
      <c r="AK57" s="13"/>
      <c r="AL57" s="13"/>
      <c r="AM57" s="14"/>
      <c r="AN57" s="14"/>
      <c r="AO57" s="14"/>
      <c r="AP57" s="14"/>
      <c r="AQ57" s="15"/>
      <c r="AR57" s="85"/>
      <c r="AS57" s="12"/>
      <c r="AT57" s="13"/>
      <c r="AU57" s="13"/>
      <c r="AV57" s="13"/>
      <c r="AW57" s="13"/>
      <c r="AX57" s="13"/>
      <c r="AY57" s="13"/>
      <c r="AZ57" s="14"/>
      <c r="BA57" s="14"/>
      <c r="BB57" s="14"/>
      <c r="BC57" s="14"/>
      <c r="BD57" s="14"/>
      <c r="BE57" s="15"/>
      <c r="BF57" s="85"/>
      <c r="BG57" s="12"/>
      <c r="BH57" s="13"/>
      <c r="BI57" s="13"/>
      <c r="BJ57" s="13"/>
      <c r="BK57" s="13"/>
      <c r="BL57" s="13"/>
      <c r="BM57" s="13"/>
      <c r="BN57" s="13"/>
      <c r="BO57" s="14"/>
      <c r="BP57" s="14"/>
      <c r="BQ57" s="14"/>
      <c r="BR57" s="14"/>
      <c r="BS57" s="15"/>
      <c r="BT57" s="85"/>
      <c r="BU57" s="12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5"/>
      <c r="CH57" s="61"/>
      <c r="CI57" s="182"/>
      <c r="CJ57" s="52"/>
      <c r="CK57" s="321" t="s">
        <v>52</v>
      </c>
      <c r="CL57" s="322"/>
      <c r="CM57" s="322"/>
      <c r="CN57" s="322"/>
      <c r="CO57" s="323"/>
      <c r="CP57" s="3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</row>
    <row r="58" spans="1:143" s="119" customFormat="1" ht="11.45" customHeight="1" x14ac:dyDescent="0.2">
      <c r="A58" s="182"/>
      <c r="B58" s="44"/>
      <c r="C58" s="5"/>
      <c r="D58" s="9"/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1"/>
      <c r="P58" s="85"/>
      <c r="Q58" s="5"/>
      <c r="R58" s="9"/>
      <c r="S58" s="9"/>
      <c r="T58" s="9"/>
      <c r="U58" s="9"/>
      <c r="V58" s="9"/>
      <c r="W58" s="9"/>
      <c r="X58" s="9"/>
      <c r="Y58" s="9"/>
      <c r="Z58" s="9"/>
      <c r="AA58" s="10"/>
      <c r="AB58" s="10"/>
      <c r="AC58" s="11"/>
      <c r="AD58" s="85"/>
      <c r="AE58" s="5"/>
      <c r="AF58" s="9"/>
      <c r="AG58" s="9"/>
      <c r="AH58" s="9"/>
      <c r="AI58" s="9"/>
      <c r="AJ58" s="9"/>
      <c r="AK58" s="9"/>
      <c r="AL58" s="9"/>
      <c r="AM58" s="10"/>
      <c r="AN58" s="10"/>
      <c r="AO58" s="10"/>
      <c r="AP58" s="10"/>
      <c r="AQ58" s="11"/>
      <c r="AR58" s="85"/>
      <c r="AS58" s="5"/>
      <c r="AT58" s="9"/>
      <c r="AU58" s="9"/>
      <c r="AV58" s="9"/>
      <c r="AW58" s="9"/>
      <c r="AX58" s="9"/>
      <c r="AY58" s="9"/>
      <c r="AZ58" s="10"/>
      <c r="BA58" s="10"/>
      <c r="BB58" s="10"/>
      <c r="BC58" s="10"/>
      <c r="BD58" s="10"/>
      <c r="BE58" s="11"/>
      <c r="BF58" s="85"/>
      <c r="BG58" s="5"/>
      <c r="BH58" s="9"/>
      <c r="BI58" s="9"/>
      <c r="BJ58" s="9"/>
      <c r="BK58" s="9"/>
      <c r="BL58" s="9"/>
      <c r="BM58" s="9"/>
      <c r="BN58" s="9"/>
      <c r="BO58" s="10"/>
      <c r="BP58" s="10"/>
      <c r="BQ58" s="10"/>
      <c r="BR58" s="10"/>
      <c r="BS58" s="11"/>
      <c r="BT58" s="85"/>
      <c r="BU58" s="25"/>
      <c r="BV58" s="6"/>
      <c r="BW58" s="6"/>
      <c r="BX58" s="6"/>
      <c r="BY58" s="6"/>
      <c r="BZ58" s="6"/>
      <c r="CA58" s="6"/>
      <c r="CB58" s="9"/>
      <c r="CC58" s="9"/>
      <c r="CD58" s="9"/>
      <c r="CE58" s="9"/>
      <c r="CF58" s="9"/>
      <c r="CG58" s="11"/>
      <c r="CH58" s="61"/>
      <c r="CI58" s="182"/>
      <c r="CJ58" s="52"/>
      <c r="CK58" s="324"/>
      <c r="CL58" s="325"/>
      <c r="CM58" s="325"/>
      <c r="CN58" s="325"/>
      <c r="CO58" s="326"/>
      <c r="CP58" s="3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</row>
    <row r="59" spans="1:143" s="119" customFormat="1" ht="11.45" customHeight="1" x14ac:dyDescent="0.2">
      <c r="A59" s="182"/>
      <c r="B59" s="44"/>
      <c r="C59" s="12"/>
      <c r="D59" s="13"/>
      <c r="E59" s="13"/>
      <c r="F59" s="14"/>
      <c r="G59" s="14"/>
      <c r="H59" s="14"/>
      <c r="I59" s="14"/>
      <c r="J59" s="14"/>
      <c r="K59" s="14"/>
      <c r="L59" s="14"/>
      <c r="M59" s="14"/>
      <c r="N59" s="14"/>
      <c r="O59" s="15"/>
      <c r="P59" s="85"/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14"/>
      <c r="AC59" s="15"/>
      <c r="AD59" s="85"/>
      <c r="AE59" s="12"/>
      <c r="AF59" s="13"/>
      <c r="AG59" s="13"/>
      <c r="AH59" s="13"/>
      <c r="AI59" s="13"/>
      <c r="AJ59" s="13"/>
      <c r="AK59" s="13"/>
      <c r="AL59" s="13"/>
      <c r="AM59" s="14"/>
      <c r="AN59" s="14"/>
      <c r="AO59" s="14"/>
      <c r="AP59" s="14"/>
      <c r="AQ59" s="15"/>
      <c r="AR59" s="85"/>
      <c r="AS59" s="12"/>
      <c r="AT59" s="13"/>
      <c r="AU59" s="13"/>
      <c r="AV59" s="13"/>
      <c r="AW59" s="13"/>
      <c r="AX59" s="13"/>
      <c r="AY59" s="13"/>
      <c r="AZ59" s="14"/>
      <c r="BA59" s="14"/>
      <c r="BB59" s="14"/>
      <c r="BC59" s="14"/>
      <c r="BD59" s="14"/>
      <c r="BE59" s="15"/>
      <c r="BF59" s="85"/>
      <c r="BG59" s="12"/>
      <c r="BH59" s="13"/>
      <c r="BI59" s="13"/>
      <c r="BJ59" s="13"/>
      <c r="BK59" s="13"/>
      <c r="BL59" s="13"/>
      <c r="BM59" s="13"/>
      <c r="BN59" s="13"/>
      <c r="BO59" s="14"/>
      <c r="BP59" s="14"/>
      <c r="BQ59" s="14"/>
      <c r="BR59" s="14"/>
      <c r="BS59" s="15"/>
      <c r="BT59" s="85"/>
      <c r="BU59" s="12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5"/>
      <c r="CH59" s="61"/>
      <c r="CI59" s="182"/>
      <c r="CJ59" s="52"/>
      <c r="CK59" s="321" t="s">
        <v>53</v>
      </c>
      <c r="CL59" s="322"/>
      <c r="CM59" s="322"/>
      <c r="CN59" s="322"/>
      <c r="CO59" s="323"/>
      <c r="CP59" s="3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</row>
    <row r="60" spans="1:143" s="119" customFormat="1" ht="11.45" customHeight="1" x14ac:dyDescent="0.2">
      <c r="A60" s="182">
        <v>1900</v>
      </c>
      <c r="B60" s="44"/>
      <c r="C60" s="5"/>
      <c r="D60" s="9"/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1"/>
      <c r="P60" s="85"/>
      <c r="Q60" s="5"/>
      <c r="R60" s="9"/>
      <c r="S60" s="9"/>
      <c r="T60" s="9"/>
      <c r="U60" s="9"/>
      <c r="V60" s="9"/>
      <c r="W60" s="9"/>
      <c r="X60" s="9"/>
      <c r="Y60" s="9"/>
      <c r="Z60" s="9"/>
      <c r="AA60" s="10"/>
      <c r="AB60" s="10"/>
      <c r="AC60" s="11"/>
      <c r="AD60" s="85"/>
      <c r="AE60" s="5"/>
      <c r="AF60" s="9"/>
      <c r="AG60" s="9"/>
      <c r="AH60" s="9"/>
      <c r="AI60" s="9"/>
      <c r="AJ60" s="9"/>
      <c r="AK60" s="9"/>
      <c r="AL60" s="9"/>
      <c r="AM60" s="10"/>
      <c r="AN60" s="10"/>
      <c r="AO60" s="10"/>
      <c r="AP60" s="10"/>
      <c r="AQ60" s="11"/>
      <c r="AR60" s="85"/>
      <c r="AS60" s="5"/>
      <c r="AT60" s="9"/>
      <c r="AU60" s="9"/>
      <c r="AV60" s="9"/>
      <c r="AW60" s="9"/>
      <c r="AX60" s="9"/>
      <c r="AY60" s="9"/>
      <c r="AZ60" s="10"/>
      <c r="BA60" s="10"/>
      <c r="BB60" s="10"/>
      <c r="BC60" s="10"/>
      <c r="BD60" s="10"/>
      <c r="BE60" s="11"/>
      <c r="BF60" s="85"/>
      <c r="BG60" s="5"/>
      <c r="BH60" s="9"/>
      <c r="BI60" s="9"/>
      <c r="BJ60" s="9"/>
      <c r="BK60" s="9"/>
      <c r="BL60" s="9"/>
      <c r="BM60" s="9"/>
      <c r="BN60" s="9"/>
      <c r="BO60" s="10"/>
      <c r="BP60" s="10"/>
      <c r="BQ60" s="10"/>
      <c r="BR60" s="10"/>
      <c r="BS60" s="11"/>
      <c r="BT60" s="85"/>
      <c r="BU60" s="25"/>
      <c r="BV60" s="6"/>
      <c r="BW60" s="6"/>
      <c r="BX60" s="6"/>
      <c r="BY60" s="6"/>
      <c r="BZ60" s="6"/>
      <c r="CA60" s="6"/>
      <c r="CB60" s="9"/>
      <c r="CC60" s="9"/>
      <c r="CD60" s="9"/>
      <c r="CE60" s="9"/>
      <c r="CF60" s="9"/>
      <c r="CG60" s="11"/>
      <c r="CH60" s="61"/>
      <c r="CI60" s="182">
        <v>1900</v>
      </c>
      <c r="CJ60" s="52"/>
      <c r="CK60" s="324"/>
      <c r="CL60" s="325"/>
      <c r="CM60" s="325"/>
      <c r="CN60" s="325"/>
      <c r="CO60" s="326"/>
      <c r="CP60" s="3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</row>
    <row r="61" spans="1:143" s="119" customFormat="1" ht="11.45" customHeight="1" x14ac:dyDescent="0.2">
      <c r="A61" s="182"/>
      <c r="B61" s="44"/>
      <c r="C61" s="12"/>
      <c r="D61" s="13"/>
      <c r="E61" s="13"/>
      <c r="F61" s="14"/>
      <c r="G61" s="14"/>
      <c r="H61" s="14"/>
      <c r="I61" s="14"/>
      <c r="J61" s="14"/>
      <c r="K61" s="14"/>
      <c r="L61" s="14"/>
      <c r="M61" s="14"/>
      <c r="N61" s="14"/>
      <c r="O61" s="15"/>
      <c r="P61" s="85"/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4"/>
      <c r="AB61" s="14"/>
      <c r="AC61" s="15"/>
      <c r="AD61" s="85"/>
      <c r="AE61" s="12"/>
      <c r="AF61" s="13"/>
      <c r="AG61" s="13"/>
      <c r="AH61" s="13"/>
      <c r="AI61" s="13"/>
      <c r="AJ61" s="13"/>
      <c r="AK61" s="13"/>
      <c r="AL61" s="13"/>
      <c r="AM61" s="14"/>
      <c r="AN61" s="14"/>
      <c r="AO61" s="14"/>
      <c r="AP61" s="14"/>
      <c r="AQ61" s="15"/>
      <c r="AR61" s="85"/>
      <c r="AS61" s="12"/>
      <c r="AT61" s="13"/>
      <c r="AU61" s="13"/>
      <c r="AV61" s="13"/>
      <c r="AW61" s="13"/>
      <c r="AX61" s="13"/>
      <c r="AY61" s="13"/>
      <c r="AZ61" s="14"/>
      <c r="BA61" s="14"/>
      <c r="BB61" s="14"/>
      <c r="BC61" s="14"/>
      <c r="BD61" s="14"/>
      <c r="BE61" s="15"/>
      <c r="BF61" s="85"/>
      <c r="BG61" s="12"/>
      <c r="BH61" s="13"/>
      <c r="BI61" s="13"/>
      <c r="BJ61" s="13"/>
      <c r="BK61" s="13"/>
      <c r="BL61" s="13"/>
      <c r="BM61" s="13"/>
      <c r="BN61" s="13"/>
      <c r="BO61" s="14"/>
      <c r="BP61" s="14"/>
      <c r="BQ61" s="14"/>
      <c r="BR61" s="14"/>
      <c r="BS61" s="15"/>
      <c r="BT61" s="85"/>
      <c r="BU61" s="12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5"/>
      <c r="CH61" s="61"/>
      <c r="CI61" s="182"/>
      <c r="CJ61" s="52"/>
      <c r="CK61" s="321" t="s">
        <v>6</v>
      </c>
      <c r="CL61" s="322"/>
      <c r="CM61" s="322"/>
      <c r="CN61" s="322"/>
      <c r="CO61" s="32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</row>
    <row r="62" spans="1:143" s="119" customFormat="1" ht="11.45" customHeight="1" x14ac:dyDescent="0.2">
      <c r="A62" s="182"/>
      <c r="B62" s="44"/>
      <c r="C62" s="5"/>
      <c r="D62" s="9"/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1"/>
      <c r="P62" s="85"/>
      <c r="Q62" s="5"/>
      <c r="R62" s="9"/>
      <c r="S62" s="9"/>
      <c r="T62" s="9"/>
      <c r="U62" s="9"/>
      <c r="V62" s="9"/>
      <c r="W62" s="9"/>
      <c r="X62" s="9"/>
      <c r="Y62" s="9"/>
      <c r="Z62" s="9"/>
      <c r="AA62" s="10"/>
      <c r="AB62" s="10"/>
      <c r="AC62" s="11"/>
      <c r="AD62" s="85"/>
      <c r="AE62" s="5"/>
      <c r="AF62" s="9"/>
      <c r="AG62" s="9"/>
      <c r="AH62" s="9"/>
      <c r="AI62" s="9"/>
      <c r="AJ62" s="9"/>
      <c r="AK62" s="9"/>
      <c r="AL62" s="9"/>
      <c r="AM62" s="10"/>
      <c r="AN62" s="10"/>
      <c r="AO62" s="10"/>
      <c r="AP62" s="10"/>
      <c r="AQ62" s="11"/>
      <c r="AR62" s="85"/>
      <c r="AS62" s="5"/>
      <c r="AT62" s="9"/>
      <c r="AU62" s="9"/>
      <c r="AV62" s="9"/>
      <c r="AW62" s="9"/>
      <c r="AX62" s="9"/>
      <c r="AY62" s="9"/>
      <c r="AZ62" s="10"/>
      <c r="BA62" s="10"/>
      <c r="BB62" s="10"/>
      <c r="BC62" s="10"/>
      <c r="BD62" s="10"/>
      <c r="BE62" s="11"/>
      <c r="BF62" s="85"/>
      <c r="BG62" s="5"/>
      <c r="BH62" s="9"/>
      <c r="BI62" s="9"/>
      <c r="BJ62" s="9"/>
      <c r="BK62" s="9"/>
      <c r="BL62" s="9"/>
      <c r="BM62" s="9"/>
      <c r="BN62" s="9"/>
      <c r="BO62" s="10"/>
      <c r="BP62" s="10"/>
      <c r="BQ62" s="10"/>
      <c r="BR62" s="10"/>
      <c r="BS62" s="11"/>
      <c r="BT62" s="85"/>
      <c r="BU62" s="25"/>
      <c r="BV62" s="6"/>
      <c r="BW62" s="6"/>
      <c r="BX62" s="6"/>
      <c r="BY62" s="6"/>
      <c r="BZ62" s="6"/>
      <c r="CA62" s="6"/>
      <c r="CB62" s="9"/>
      <c r="CC62" s="9"/>
      <c r="CD62" s="9"/>
      <c r="CE62" s="9"/>
      <c r="CF62" s="9"/>
      <c r="CG62" s="11"/>
      <c r="CH62" s="61"/>
      <c r="CI62" s="182"/>
      <c r="CJ62" s="52"/>
      <c r="CK62" s="324"/>
      <c r="CL62" s="325"/>
      <c r="CM62" s="325"/>
      <c r="CN62" s="325"/>
      <c r="CO62" s="326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</row>
    <row r="63" spans="1:143" s="119" customFormat="1" ht="11.45" customHeight="1" x14ac:dyDescent="0.2">
      <c r="A63" s="182"/>
      <c r="B63" s="44"/>
      <c r="C63" s="12"/>
      <c r="D63" s="13"/>
      <c r="E63" s="13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85"/>
      <c r="Q63" s="12"/>
      <c r="R63" s="13"/>
      <c r="S63" s="13"/>
      <c r="T63" s="13"/>
      <c r="U63" s="13"/>
      <c r="V63" s="13"/>
      <c r="W63" s="13"/>
      <c r="X63" s="13"/>
      <c r="Y63" s="13"/>
      <c r="Z63" s="13"/>
      <c r="AA63" s="14"/>
      <c r="AB63" s="14"/>
      <c r="AC63" s="15"/>
      <c r="AD63" s="85"/>
      <c r="AE63" s="12"/>
      <c r="AF63" s="13"/>
      <c r="AG63" s="13"/>
      <c r="AH63" s="13"/>
      <c r="AI63" s="13"/>
      <c r="AJ63" s="13"/>
      <c r="AK63" s="13"/>
      <c r="AL63" s="13"/>
      <c r="AM63" s="14"/>
      <c r="AN63" s="14"/>
      <c r="AO63" s="14"/>
      <c r="AP63" s="14"/>
      <c r="AQ63" s="15"/>
      <c r="AR63" s="85"/>
      <c r="AS63" s="12"/>
      <c r="AT63" s="13"/>
      <c r="AU63" s="13"/>
      <c r="AV63" s="13"/>
      <c r="AW63" s="13"/>
      <c r="AX63" s="13"/>
      <c r="AY63" s="13"/>
      <c r="AZ63" s="14"/>
      <c r="BA63" s="14"/>
      <c r="BB63" s="14"/>
      <c r="BC63" s="14"/>
      <c r="BD63" s="14"/>
      <c r="BE63" s="15"/>
      <c r="BF63" s="85"/>
      <c r="BG63" s="12"/>
      <c r="BH63" s="13"/>
      <c r="BI63" s="13"/>
      <c r="BJ63" s="13"/>
      <c r="BK63" s="13"/>
      <c r="BL63" s="13"/>
      <c r="BM63" s="13"/>
      <c r="BN63" s="13"/>
      <c r="BO63" s="14"/>
      <c r="BP63" s="14"/>
      <c r="BQ63" s="14"/>
      <c r="BR63" s="14"/>
      <c r="BS63" s="15"/>
      <c r="BT63" s="85"/>
      <c r="BU63" s="12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5"/>
      <c r="CH63" s="61"/>
      <c r="CI63" s="182"/>
      <c r="CJ63" s="52"/>
      <c r="CK63" s="321" t="s">
        <v>7</v>
      </c>
      <c r="CL63" s="322"/>
      <c r="CM63" s="322"/>
      <c r="CN63" s="322"/>
      <c r="CO63" s="323"/>
      <c r="CP63" s="3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</row>
    <row r="64" spans="1:143" s="119" customFormat="1" ht="11.45" customHeight="1" x14ac:dyDescent="0.2">
      <c r="A64" s="182">
        <v>2000</v>
      </c>
      <c r="B64" s="44"/>
      <c r="C64" s="5"/>
      <c r="D64" s="9"/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1"/>
      <c r="P64" s="85"/>
      <c r="Q64" s="5"/>
      <c r="R64" s="9"/>
      <c r="S64" s="9"/>
      <c r="T64" s="9"/>
      <c r="U64" s="9"/>
      <c r="V64" s="9"/>
      <c r="W64" s="9"/>
      <c r="X64" s="9"/>
      <c r="Y64" s="9"/>
      <c r="Z64" s="9"/>
      <c r="AA64" s="10"/>
      <c r="AB64" s="10"/>
      <c r="AC64" s="11"/>
      <c r="AD64" s="85"/>
      <c r="AE64" s="5"/>
      <c r="AF64" s="9"/>
      <c r="AG64" s="9"/>
      <c r="AH64" s="9"/>
      <c r="AI64" s="9"/>
      <c r="AJ64" s="9"/>
      <c r="AK64" s="9"/>
      <c r="AL64" s="9"/>
      <c r="AM64" s="10"/>
      <c r="AN64" s="10"/>
      <c r="AO64" s="10"/>
      <c r="AP64" s="10"/>
      <c r="AQ64" s="11"/>
      <c r="AR64" s="85"/>
      <c r="AS64" s="5"/>
      <c r="AT64" s="9"/>
      <c r="AU64" s="9"/>
      <c r="AV64" s="9"/>
      <c r="AW64" s="9"/>
      <c r="AX64" s="9"/>
      <c r="AY64" s="9"/>
      <c r="AZ64" s="10"/>
      <c r="BA64" s="10"/>
      <c r="BB64" s="10"/>
      <c r="BC64" s="10"/>
      <c r="BD64" s="10"/>
      <c r="BE64" s="11"/>
      <c r="BF64" s="85"/>
      <c r="BG64" s="5"/>
      <c r="BH64" s="9"/>
      <c r="BI64" s="9"/>
      <c r="BJ64" s="9"/>
      <c r="BK64" s="9"/>
      <c r="BL64" s="9"/>
      <c r="BM64" s="9"/>
      <c r="BN64" s="9"/>
      <c r="BO64" s="10"/>
      <c r="BP64" s="10"/>
      <c r="BQ64" s="10"/>
      <c r="BR64" s="10"/>
      <c r="BS64" s="11"/>
      <c r="BT64" s="85"/>
      <c r="BU64" s="25"/>
      <c r="BV64" s="6"/>
      <c r="BW64" s="6"/>
      <c r="BX64" s="6"/>
      <c r="BY64" s="6"/>
      <c r="BZ64" s="6"/>
      <c r="CA64" s="6"/>
      <c r="CB64" s="9"/>
      <c r="CC64" s="9"/>
      <c r="CD64" s="9"/>
      <c r="CE64" s="9"/>
      <c r="CF64" s="9"/>
      <c r="CG64" s="11"/>
      <c r="CH64" s="61"/>
      <c r="CI64" s="182">
        <v>2000</v>
      </c>
      <c r="CJ64" s="52"/>
      <c r="CK64" s="324"/>
      <c r="CL64" s="325"/>
      <c r="CM64" s="325"/>
      <c r="CN64" s="325"/>
      <c r="CO64" s="326"/>
      <c r="CP64" s="3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</row>
    <row r="65" spans="1:143" s="119" customFormat="1" ht="11.45" customHeight="1" x14ac:dyDescent="0.2">
      <c r="A65" s="182"/>
      <c r="B65" s="44"/>
      <c r="C65" s="12"/>
      <c r="D65" s="13"/>
      <c r="E65" s="13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85"/>
      <c r="Q65" s="12"/>
      <c r="R65" s="13"/>
      <c r="S65" s="13"/>
      <c r="T65" s="13"/>
      <c r="U65" s="13"/>
      <c r="V65" s="13"/>
      <c r="W65" s="13"/>
      <c r="X65" s="13"/>
      <c r="Y65" s="13"/>
      <c r="Z65" s="13"/>
      <c r="AA65" s="14"/>
      <c r="AB65" s="14"/>
      <c r="AC65" s="15"/>
      <c r="AD65" s="85"/>
      <c r="AE65" s="12"/>
      <c r="AF65" s="13"/>
      <c r="AG65" s="13"/>
      <c r="AH65" s="13"/>
      <c r="AI65" s="13"/>
      <c r="AJ65" s="13"/>
      <c r="AK65" s="13"/>
      <c r="AL65" s="13"/>
      <c r="AM65" s="14"/>
      <c r="AN65" s="14"/>
      <c r="AO65" s="14"/>
      <c r="AP65" s="14"/>
      <c r="AQ65" s="15"/>
      <c r="AR65" s="85"/>
      <c r="AS65" s="12"/>
      <c r="AT65" s="13"/>
      <c r="AU65" s="13"/>
      <c r="AV65" s="13"/>
      <c r="AW65" s="13"/>
      <c r="AX65" s="13"/>
      <c r="AY65" s="13"/>
      <c r="AZ65" s="14"/>
      <c r="BA65" s="14"/>
      <c r="BB65" s="14"/>
      <c r="BC65" s="14"/>
      <c r="BD65" s="14"/>
      <c r="BE65" s="15"/>
      <c r="BF65" s="85"/>
      <c r="BG65" s="12"/>
      <c r="BH65" s="13"/>
      <c r="BI65" s="13"/>
      <c r="BJ65" s="13"/>
      <c r="BK65" s="13"/>
      <c r="BL65" s="13"/>
      <c r="BM65" s="13"/>
      <c r="BN65" s="13"/>
      <c r="BO65" s="14"/>
      <c r="BP65" s="14"/>
      <c r="BQ65" s="14"/>
      <c r="BR65" s="14"/>
      <c r="BS65" s="15"/>
      <c r="BT65" s="85"/>
      <c r="BU65" s="12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5"/>
      <c r="CH65" s="61"/>
      <c r="CI65" s="182"/>
      <c r="CJ65" s="52"/>
      <c r="CK65" s="321" t="s">
        <v>54</v>
      </c>
      <c r="CL65" s="322"/>
      <c r="CM65" s="322"/>
      <c r="CN65" s="322"/>
      <c r="CO65" s="323"/>
      <c r="CP65" s="3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</row>
    <row r="66" spans="1:143" s="119" customFormat="1" ht="11.45" customHeight="1" x14ac:dyDescent="0.2">
      <c r="A66" s="182"/>
      <c r="B66" s="44"/>
      <c r="C66" s="5"/>
      <c r="D66" s="9"/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1"/>
      <c r="P66" s="85"/>
      <c r="Q66" s="5"/>
      <c r="R66" s="9"/>
      <c r="S66" s="9"/>
      <c r="T66" s="9"/>
      <c r="U66" s="9"/>
      <c r="V66" s="9"/>
      <c r="W66" s="9"/>
      <c r="X66" s="9"/>
      <c r="Y66" s="9"/>
      <c r="Z66" s="9"/>
      <c r="AA66" s="10"/>
      <c r="AB66" s="10"/>
      <c r="AC66" s="11"/>
      <c r="AD66" s="85"/>
      <c r="AE66" s="5"/>
      <c r="AF66" s="9"/>
      <c r="AG66" s="9"/>
      <c r="AH66" s="9"/>
      <c r="AI66" s="9"/>
      <c r="AJ66" s="9"/>
      <c r="AK66" s="9"/>
      <c r="AL66" s="9"/>
      <c r="AM66" s="10"/>
      <c r="AN66" s="10"/>
      <c r="AO66" s="10"/>
      <c r="AP66" s="10"/>
      <c r="AQ66" s="11"/>
      <c r="AR66" s="85"/>
      <c r="AS66" s="5"/>
      <c r="AT66" s="9"/>
      <c r="AU66" s="9"/>
      <c r="AV66" s="9"/>
      <c r="AW66" s="9"/>
      <c r="AX66" s="9"/>
      <c r="AY66" s="9"/>
      <c r="AZ66" s="10"/>
      <c r="BA66" s="10"/>
      <c r="BB66" s="10"/>
      <c r="BC66" s="10"/>
      <c r="BD66" s="10"/>
      <c r="BE66" s="11"/>
      <c r="BF66" s="85"/>
      <c r="BG66" s="5"/>
      <c r="BH66" s="9"/>
      <c r="BI66" s="9"/>
      <c r="BJ66" s="9"/>
      <c r="BK66" s="9"/>
      <c r="BL66" s="9"/>
      <c r="BM66" s="9"/>
      <c r="BN66" s="9"/>
      <c r="BO66" s="10"/>
      <c r="BP66" s="10"/>
      <c r="BQ66" s="10"/>
      <c r="BR66" s="10"/>
      <c r="BS66" s="11"/>
      <c r="BT66" s="85"/>
      <c r="BU66" s="25"/>
      <c r="BV66" s="6"/>
      <c r="BW66" s="6"/>
      <c r="BX66" s="6"/>
      <c r="BY66" s="6"/>
      <c r="BZ66" s="6"/>
      <c r="CA66" s="6"/>
      <c r="CB66" s="9"/>
      <c r="CC66" s="9"/>
      <c r="CD66" s="9"/>
      <c r="CE66" s="9"/>
      <c r="CF66" s="9"/>
      <c r="CG66" s="11"/>
      <c r="CH66" s="61"/>
      <c r="CI66" s="182"/>
      <c r="CJ66" s="52"/>
      <c r="CK66" s="324"/>
      <c r="CL66" s="325"/>
      <c r="CM66" s="325"/>
      <c r="CN66" s="325"/>
      <c r="CO66" s="326"/>
      <c r="CP66" s="3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</row>
    <row r="67" spans="1:143" s="119" customFormat="1" ht="11.45" customHeight="1" x14ac:dyDescent="0.2">
      <c r="A67" s="182"/>
      <c r="B67" s="44"/>
      <c r="C67" s="12"/>
      <c r="D67" s="13"/>
      <c r="E67" s="13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85"/>
      <c r="Q67" s="12"/>
      <c r="R67" s="13"/>
      <c r="S67" s="13"/>
      <c r="T67" s="13"/>
      <c r="U67" s="13"/>
      <c r="V67" s="13"/>
      <c r="W67" s="13"/>
      <c r="X67" s="13"/>
      <c r="Y67" s="13"/>
      <c r="Z67" s="13"/>
      <c r="AA67" s="14"/>
      <c r="AB67" s="14"/>
      <c r="AC67" s="15"/>
      <c r="AD67" s="85"/>
      <c r="AE67" s="12"/>
      <c r="AF67" s="13"/>
      <c r="AG67" s="13"/>
      <c r="AH67" s="13"/>
      <c r="AI67" s="13"/>
      <c r="AJ67" s="13"/>
      <c r="AK67" s="13"/>
      <c r="AL67" s="13"/>
      <c r="AM67" s="14"/>
      <c r="AN67" s="14"/>
      <c r="AO67" s="14"/>
      <c r="AP67" s="14"/>
      <c r="AQ67" s="15"/>
      <c r="AR67" s="85"/>
      <c r="AS67" s="12"/>
      <c r="AT67" s="13"/>
      <c r="AU67" s="13"/>
      <c r="AV67" s="13"/>
      <c r="AW67" s="13"/>
      <c r="AX67" s="13"/>
      <c r="AY67" s="13"/>
      <c r="AZ67" s="14"/>
      <c r="BA67" s="14"/>
      <c r="BB67" s="14"/>
      <c r="BC67" s="14"/>
      <c r="BD67" s="14"/>
      <c r="BE67" s="15"/>
      <c r="BF67" s="85"/>
      <c r="BG67" s="12"/>
      <c r="BH67" s="13"/>
      <c r="BI67" s="13"/>
      <c r="BJ67" s="13"/>
      <c r="BK67" s="13"/>
      <c r="BL67" s="13"/>
      <c r="BM67" s="13"/>
      <c r="BN67" s="13"/>
      <c r="BO67" s="14"/>
      <c r="BP67" s="14"/>
      <c r="BQ67" s="14"/>
      <c r="BR67" s="14"/>
      <c r="BS67" s="15"/>
      <c r="BT67" s="85"/>
      <c r="BU67" s="12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5"/>
      <c r="CH67" s="61"/>
      <c r="CI67" s="182"/>
      <c r="CJ67" s="52"/>
      <c r="CK67" s="321" t="s">
        <v>55</v>
      </c>
      <c r="CL67" s="322"/>
      <c r="CM67" s="322"/>
      <c r="CN67" s="322"/>
      <c r="CO67" s="323"/>
      <c r="CP67" s="36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</row>
    <row r="68" spans="1:143" s="119" customFormat="1" ht="11.45" customHeight="1" x14ac:dyDescent="0.2">
      <c r="A68" s="182">
        <v>2100</v>
      </c>
      <c r="B68" s="44"/>
      <c r="C68" s="5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1"/>
      <c r="P68" s="85"/>
      <c r="Q68" s="5"/>
      <c r="R68" s="9"/>
      <c r="S68" s="9"/>
      <c r="T68" s="9"/>
      <c r="U68" s="9"/>
      <c r="V68" s="9"/>
      <c r="W68" s="9"/>
      <c r="X68" s="9"/>
      <c r="Y68" s="9"/>
      <c r="Z68" s="9"/>
      <c r="AA68" s="10"/>
      <c r="AB68" s="10"/>
      <c r="AC68" s="11"/>
      <c r="AD68" s="85"/>
      <c r="AE68" s="5"/>
      <c r="AF68" s="9"/>
      <c r="AG68" s="9"/>
      <c r="AH68" s="9"/>
      <c r="AI68" s="9"/>
      <c r="AJ68" s="9"/>
      <c r="AK68" s="9"/>
      <c r="AL68" s="9"/>
      <c r="AM68" s="10"/>
      <c r="AN68" s="10"/>
      <c r="AO68" s="10"/>
      <c r="AP68" s="10"/>
      <c r="AQ68" s="11"/>
      <c r="AR68" s="85"/>
      <c r="AS68" s="5"/>
      <c r="AT68" s="9"/>
      <c r="AU68" s="9"/>
      <c r="AV68" s="9"/>
      <c r="AW68" s="9"/>
      <c r="AX68" s="9"/>
      <c r="AY68" s="9"/>
      <c r="AZ68" s="10"/>
      <c r="BA68" s="10"/>
      <c r="BB68" s="10"/>
      <c r="BC68" s="10"/>
      <c r="BD68" s="10"/>
      <c r="BE68" s="11"/>
      <c r="BF68" s="85"/>
      <c r="BG68" s="5"/>
      <c r="BH68" s="9"/>
      <c r="BI68" s="9"/>
      <c r="BJ68" s="9"/>
      <c r="BK68" s="9"/>
      <c r="BL68" s="9"/>
      <c r="BM68" s="9"/>
      <c r="BN68" s="9"/>
      <c r="BO68" s="10"/>
      <c r="BP68" s="10"/>
      <c r="BQ68" s="10"/>
      <c r="BR68" s="10"/>
      <c r="BS68" s="11"/>
      <c r="BT68" s="85"/>
      <c r="BU68" s="25"/>
      <c r="BV68" s="6"/>
      <c r="BW68" s="6"/>
      <c r="BX68" s="6"/>
      <c r="BY68" s="6"/>
      <c r="BZ68" s="6"/>
      <c r="CA68" s="6"/>
      <c r="CB68" s="9"/>
      <c r="CC68" s="9"/>
      <c r="CD68" s="9"/>
      <c r="CE68" s="9"/>
      <c r="CF68" s="9"/>
      <c r="CG68" s="11"/>
      <c r="CH68" s="61"/>
      <c r="CI68" s="182">
        <v>2100</v>
      </c>
      <c r="CJ68" s="52"/>
      <c r="CK68" s="324"/>
      <c r="CL68" s="325"/>
      <c r="CM68" s="325"/>
      <c r="CN68" s="325"/>
      <c r="CO68" s="326"/>
      <c r="CP68" s="36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</row>
    <row r="69" spans="1:143" s="119" customFormat="1" ht="11.45" customHeight="1" x14ac:dyDescent="0.2">
      <c r="A69" s="182"/>
      <c r="B69" s="44"/>
      <c r="C69" s="12"/>
      <c r="D69" s="13"/>
      <c r="E69" s="13"/>
      <c r="F69" s="14"/>
      <c r="G69" s="14"/>
      <c r="H69" s="14"/>
      <c r="I69" s="14"/>
      <c r="J69" s="14"/>
      <c r="K69" s="14"/>
      <c r="L69" s="14"/>
      <c r="M69" s="14"/>
      <c r="N69" s="14"/>
      <c r="O69" s="15"/>
      <c r="P69" s="85"/>
      <c r="Q69" s="12"/>
      <c r="R69" s="13"/>
      <c r="S69" s="13"/>
      <c r="T69" s="13"/>
      <c r="U69" s="13"/>
      <c r="V69" s="13"/>
      <c r="W69" s="13"/>
      <c r="X69" s="13"/>
      <c r="Y69" s="13"/>
      <c r="Z69" s="13"/>
      <c r="AA69" s="14"/>
      <c r="AB69" s="14"/>
      <c r="AC69" s="15"/>
      <c r="AD69" s="85"/>
      <c r="AE69" s="12"/>
      <c r="AF69" s="13"/>
      <c r="AG69" s="13"/>
      <c r="AH69" s="13"/>
      <c r="AI69" s="13"/>
      <c r="AJ69" s="13"/>
      <c r="AK69" s="13"/>
      <c r="AL69" s="13"/>
      <c r="AM69" s="14"/>
      <c r="AN69" s="14"/>
      <c r="AO69" s="14"/>
      <c r="AP69" s="14"/>
      <c r="AQ69" s="15"/>
      <c r="AR69" s="85"/>
      <c r="AS69" s="12"/>
      <c r="AT69" s="13"/>
      <c r="AU69" s="13"/>
      <c r="AV69" s="13"/>
      <c r="AW69" s="13"/>
      <c r="AX69" s="13"/>
      <c r="AY69" s="13"/>
      <c r="AZ69" s="14"/>
      <c r="BA69" s="14"/>
      <c r="BB69" s="14"/>
      <c r="BC69" s="14"/>
      <c r="BD69" s="14"/>
      <c r="BE69" s="15"/>
      <c r="BF69" s="85"/>
      <c r="BG69" s="12"/>
      <c r="BH69" s="13"/>
      <c r="BI69" s="13"/>
      <c r="BJ69" s="13"/>
      <c r="BK69" s="13"/>
      <c r="BL69" s="13"/>
      <c r="BM69" s="13"/>
      <c r="BN69" s="13"/>
      <c r="BO69" s="14"/>
      <c r="BP69" s="14"/>
      <c r="BQ69" s="14"/>
      <c r="BR69" s="14"/>
      <c r="BS69" s="15"/>
      <c r="BT69" s="85"/>
      <c r="BU69" s="12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5"/>
      <c r="CH69" s="61"/>
      <c r="CI69" s="182"/>
      <c r="CJ69" s="52"/>
      <c r="CK69" s="327" t="s">
        <v>4</v>
      </c>
      <c r="CL69" s="328"/>
      <c r="CM69" s="328"/>
      <c r="CN69" s="328"/>
      <c r="CO69" s="329"/>
      <c r="CP69" s="34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</row>
    <row r="70" spans="1:143" s="119" customFormat="1" ht="11.45" customHeight="1" x14ac:dyDescent="0.2">
      <c r="A70" s="182"/>
      <c r="B70" s="44"/>
      <c r="C70" s="5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1"/>
      <c r="P70" s="85"/>
      <c r="Q70" s="5"/>
      <c r="R70" s="9"/>
      <c r="S70" s="9"/>
      <c r="T70" s="9"/>
      <c r="U70" s="9"/>
      <c r="V70" s="9"/>
      <c r="W70" s="9"/>
      <c r="X70" s="9"/>
      <c r="Y70" s="9"/>
      <c r="Z70" s="9"/>
      <c r="AA70" s="10"/>
      <c r="AB70" s="10"/>
      <c r="AC70" s="11"/>
      <c r="AD70" s="85"/>
      <c r="AE70" s="5"/>
      <c r="AF70" s="9"/>
      <c r="AG70" s="9"/>
      <c r="AH70" s="9"/>
      <c r="AI70" s="9"/>
      <c r="AJ70" s="9"/>
      <c r="AK70" s="9"/>
      <c r="AL70" s="9"/>
      <c r="AM70" s="10"/>
      <c r="AN70" s="10"/>
      <c r="AO70" s="10"/>
      <c r="AP70" s="10"/>
      <c r="AQ70" s="11"/>
      <c r="AR70" s="85"/>
      <c r="AS70" s="5"/>
      <c r="AT70" s="9"/>
      <c r="AU70" s="9"/>
      <c r="AV70" s="9"/>
      <c r="AW70" s="9"/>
      <c r="AX70" s="9"/>
      <c r="AY70" s="9"/>
      <c r="AZ70" s="10"/>
      <c r="BA70" s="10"/>
      <c r="BB70" s="10"/>
      <c r="BC70" s="10"/>
      <c r="BD70" s="10"/>
      <c r="BE70" s="11"/>
      <c r="BF70" s="85"/>
      <c r="BG70" s="5"/>
      <c r="BH70" s="9"/>
      <c r="BI70" s="9"/>
      <c r="BJ70" s="9"/>
      <c r="BK70" s="9"/>
      <c r="BL70" s="9"/>
      <c r="BM70" s="9"/>
      <c r="BN70" s="9"/>
      <c r="BO70" s="10"/>
      <c r="BP70" s="10"/>
      <c r="BQ70" s="10"/>
      <c r="BR70" s="10"/>
      <c r="BS70" s="11"/>
      <c r="BT70" s="85"/>
      <c r="BU70" s="25"/>
      <c r="BV70" s="6"/>
      <c r="BW70" s="6"/>
      <c r="BX70" s="6"/>
      <c r="BY70" s="6"/>
      <c r="BZ70" s="6"/>
      <c r="CA70" s="6"/>
      <c r="CB70" s="9"/>
      <c r="CC70" s="9"/>
      <c r="CD70" s="9"/>
      <c r="CE70" s="9"/>
      <c r="CF70" s="9"/>
      <c r="CG70" s="11"/>
      <c r="CH70" s="61"/>
      <c r="CI70" s="182"/>
      <c r="CJ70" s="52"/>
      <c r="CK70" s="330"/>
      <c r="CL70" s="331"/>
      <c r="CM70" s="331"/>
      <c r="CN70" s="331"/>
      <c r="CO70" s="332"/>
      <c r="CP70" s="34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</row>
    <row r="71" spans="1:143" s="119" customFormat="1" ht="11.45" customHeight="1" x14ac:dyDescent="0.2">
      <c r="A71" s="182"/>
      <c r="B71" s="44"/>
      <c r="C71" s="12"/>
      <c r="D71" s="13"/>
      <c r="E71" s="13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85"/>
      <c r="Q71" s="12"/>
      <c r="R71" s="13"/>
      <c r="S71" s="13"/>
      <c r="T71" s="13"/>
      <c r="U71" s="13"/>
      <c r="V71" s="13"/>
      <c r="W71" s="13"/>
      <c r="X71" s="13"/>
      <c r="Y71" s="13"/>
      <c r="Z71" s="13"/>
      <c r="AA71" s="14"/>
      <c r="AB71" s="14"/>
      <c r="AC71" s="15"/>
      <c r="AD71" s="85"/>
      <c r="AE71" s="12"/>
      <c r="AF71" s="13"/>
      <c r="AG71" s="13"/>
      <c r="AH71" s="13"/>
      <c r="AI71" s="13"/>
      <c r="AJ71" s="13"/>
      <c r="AK71" s="13"/>
      <c r="AL71" s="13"/>
      <c r="AM71" s="14"/>
      <c r="AN71" s="14"/>
      <c r="AO71" s="14"/>
      <c r="AP71" s="14"/>
      <c r="AQ71" s="15"/>
      <c r="AR71" s="85"/>
      <c r="AS71" s="12"/>
      <c r="AT71" s="13"/>
      <c r="AU71" s="13"/>
      <c r="AV71" s="13"/>
      <c r="AW71" s="13"/>
      <c r="AX71" s="13"/>
      <c r="AY71" s="13"/>
      <c r="AZ71" s="14"/>
      <c r="BA71" s="14"/>
      <c r="BB71" s="14"/>
      <c r="BC71" s="14"/>
      <c r="BD71" s="14"/>
      <c r="BE71" s="15"/>
      <c r="BF71" s="85"/>
      <c r="BG71" s="12"/>
      <c r="BH71" s="13"/>
      <c r="BI71" s="13"/>
      <c r="BJ71" s="13"/>
      <c r="BK71" s="13"/>
      <c r="BL71" s="13"/>
      <c r="BM71" s="13"/>
      <c r="BN71" s="13"/>
      <c r="BO71" s="14"/>
      <c r="BP71" s="14"/>
      <c r="BQ71" s="14"/>
      <c r="BR71" s="14"/>
      <c r="BS71" s="15"/>
      <c r="BT71" s="85"/>
      <c r="BU71" s="12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5"/>
      <c r="CH71" s="61"/>
      <c r="CI71" s="182"/>
      <c r="CJ71" s="52"/>
      <c r="CK71" s="309"/>
      <c r="CL71" s="310"/>
      <c r="CM71" s="310"/>
      <c r="CN71" s="310"/>
      <c r="CO71" s="311"/>
      <c r="CP71" s="34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</row>
    <row r="72" spans="1:143" s="119" customFormat="1" ht="11.45" customHeight="1" x14ac:dyDescent="0.2">
      <c r="A72" s="182">
        <v>2200</v>
      </c>
      <c r="B72" s="44"/>
      <c r="C72" s="5"/>
      <c r="D72" s="9"/>
      <c r="E72" s="9"/>
      <c r="F72" s="10"/>
      <c r="G72" s="10"/>
      <c r="H72" s="10"/>
      <c r="I72" s="10"/>
      <c r="J72" s="10"/>
      <c r="K72" s="10"/>
      <c r="L72" s="10"/>
      <c r="M72" s="10"/>
      <c r="N72" s="10"/>
      <c r="O72" s="11"/>
      <c r="P72" s="85"/>
      <c r="Q72" s="5"/>
      <c r="R72" s="9"/>
      <c r="S72" s="9"/>
      <c r="T72" s="9"/>
      <c r="U72" s="9"/>
      <c r="V72" s="9"/>
      <c r="W72" s="9"/>
      <c r="X72" s="9"/>
      <c r="Y72" s="9"/>
      <c r="Z72" s="9"/>
      <c r="AA72" s="10"/>
      <c r="AB72" s="10"/>
      <c r="AC72" s="11"/>
      <c r="AD72" s="85"/>
      <c r="AE72" s="5"/>
      <c r="AF72" s="9"/>
      <c r="AG72" s="9"/>
      <c r="AH72" s="9"/>
      <c r="AI72" s="9"/>
      <c r="AJ72" s="9"/>
      <c r="AK72" s="9"/>
      <c r="AL72" s="9"/>
      <c r="AM72" s="10"/>
      <c r="AN72" s="10"/>
      <c r="AO72" s="10"/>
      <c r="AP72" s="10"/>
      <c r="AQ72" s="11"/>
      <c r="AR72" s="85"/>
      <c r="AS72" s="5"/>
      <c r="AT72" s="9"/>
      <c r="AU72" s="9"/>
      <c r="AV72" s="9"/>
      <c r="AW72" s="9"/>
      <c r="AX72" s="9"/>
      <c r="AY72" s="9"/>
      <c r="AZ72" s="10"/>
      <c r="BA72" s="10"/>
      <c r="BB72" s="10"/>
      <c r="BC72" s="10"/>
      <c r="BD72" s="10"/>
      <c r="BE72" s="11"/>
      <c r="BF72" s="85"/>
      <c r="BG72" s="5"/>
      <c r="BH72" s="9"/>
      <c r="BI72" s="9"/>
      <c r="BJ72" s="9"/>
      <c r="BK72" s="9"/>
      <c r="BL72" s="9"/>
      <c r="BM72" s="9"/>
      <c r="BN72" s="9"/>
      <c r="BO72" s="10"/>
      <c r="BP72" s="10"/>
      <c r="BQ72" s="10"/>
      <c r="BR72" s="10"/>
      <c r="BS72" s="11"/>
      <c r="BT72" s="85"/>
      <c r="BU72" s="25"/>
      <c r="BV72" s="6"/>
      <c r="BW72" s="6"/>
      <c r="BX72" s="6"/>
      <c r="BY72" s="6"/>
      <c r="BZ72" s="6"/>
      <c r="CA72" s="6"/>
      <c r="CB72" s="9"/>
      <c r="CC72" s="9"/>
      <c r="CD72" s="9"/>
      <c r="CE72" s="9"/>
      <c r="CF72" s="9"/>
      <c r="CG72" s="11"/>
      <c r="CH72" s="61"/>
      <c r="CI72" s="182">
        <v>2200</v>
      </c>
      <c r="CJ72" s="52"/>
      <c r="CK72" s="312"/>
      <c r="CL72" s="313"/>
      <c r="CM72" s="313"/>
      <c r="CN72" s="313"/>
      <c r="CO72" s="314"/>
      <c r="CP72" s="34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</row>
    <row r="73" spans="1:143" s="119" customFormat="1" ht="11.45" customHeight="1" x14ac:dyDescent="0.2">
      <c r="A73" s="182"/>
      <c r="B73" s="44"/>
      <c r="C73" s="12"/>
      <c r="D73" s="13"/>
      <c r="E73" s="13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85"/>
      <c r="Q73" s="12"/>
      <c r="R73" s="13"/>
      <c r="S73" s="13"/>
      <c r="T73" s="13"/>
      <c r="U73" s="13"/>
      <c r="V73" s="13"/>
      <c r="W73" s="13"/>
      <c r="X73" s="13"/>
      <c r="Y73" s="13"/>
      <c r="Z73" s="13"/>
      <c r="AA73" s="14"/>
      <c r="AB73" s="14"/>
      <c r="AC73" s="15"/>
      <c r="AD73" s="85"/>
      <c r="AE73" s="12"/>
      <c r="AF73" s="13"/>
      <c r="AG73" s="13"/>
      <c r="AH73" s="13"/>
      <c r="AI73" s="13"/>
      <c r="AJ73" s="13"/>
      <c r="AK73" s="13"/>
      <c r="AL73" s="13"/>
      <c r="AM73" s="14"/>
      <c r="AN73" s="14"/>
      <c r="AO73" s="14"/>
      <c r="AP73" s="14"/>
      <c r="AQ73" s="15"/>
      <c r="AR73" s="85"/>
      <c r="AS73" s="12"/>
      <c r="AT73" s="13"/>
      <c r="AU73" s="13"/>
      <c r="AV73" s="13"/>
      <c r="AW73" s="13"/>
      <c r="AX73" s="13"/>
      <c r="AY73" s="13"/>
      <c r="AZ73" s="14"/>
      <c r="BA73" s="14"/>
      <c r="BB73" s="14"/>
      <c r="BC73" s="14"/>
      <c r="BD73" s="14"/>
      <c r="BE73" s="15"/>
      <c r="BF73" s="85"/>
      <c r="BG73" s="12"/>
      <c r="BH73" s="13"/>
      <c r="BI73" s="13"/>
      <c r="BJ73" s="13"/>
      <c r="BK73" s="13"/>
      <c r="BL73" s="13"/>
      <c r="BM73" s="13"/>
      <c r="BN73" s="13"/>
      <c r="BO73" s="14"/>
      <c r="BP73" s="14"/>
      <c r="BQ73" s="14"/>
      <c r="BR73" s="14"/>
      <c r="BS73" s="15"/>
      <c r="BT73" s="85"/>
      <c r="BU73" s="12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5"/>
      <c r="CH73" s="61"/>
      <c r="CI73" s="182"/>
      <c r="CJ73" s="52"/>
      <c r="CK73" s="309" t="s">
        <v>56</v>
      </c>
      <c r="CL73" s="310"/>
      <c r="CM73" s="310"/>
      <c r="CN73" s="310"/>
      <c r="CO73" s="311"/>
      <c r="CP73" s="35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</row>
    <row r="74" spans="1:143" s="119" customFormat="1" ht="11.45" customHeight="1" x14ac:dyDescent="0.2">
      <c r="A74" s="182"/>
      <c r="B74" s="44"/>
      <c r="C74" s="5"/>
      <c r="D74" s="9"/>
      <c r="E74" s="9"/>
      <c r="F74" s="10"/>
      <c r="G74" s="10"/>
      <c r="H74" s="10"/>
      <c r="I74" s="10"/>
      <c r="J74" s="10"/>
      <c r="K74" s="10"/>
      <c r="L74" s="10"/>
      <c r="M74" s="10"/>
      <c r="N74" s="10"/>
      <c r="O74" s="11"/>
      <c r="P74" s="85"/>
      <c r="Q74" s="5"/>
      <c r="R74" s="9"/>
      <c r="S74" s="9"/>
      <c r="T74" s="9"/>
      <c r="U74" s="9"/>
      <c r="V74" s="9"/>
      <c r="W74" s="9"/>
      <c r="X74" s="9"/>
      <c r="Y74" s="9"/>
      <c r="Z74" s="9"/>
      <c r="AA74" s="10"/>
      <c r="AB74" s="10"/>
      <c r="AC74" s="11"/>
      <c r="AD74" s="85"/>
      <c r="AE74" s="5"/>
      <c r="AF74" s="9"/>
      <c r="AG74" s="9"/>
      <c r="AH74" s="9"/>
      <c r="AI74" s="9"/>
      <c r="AJ74" s="9"/>
      <c r="AK74" s="9"/>
      <c r="AL74" s="9"/>
      <c r="AM74" s="10"/>
      <c r="AN74" s="10"/>
      <c r="AO74" s="10"/>
      <c r="AP74" s="10"/>
      <c r="AQ74" s="11"/>
      <c r="AR74" s="85"/>
      <c r="AS74" s="5"/>
      <c r="AT74" s="9"/>
      <c r="AU74" s="9"/>
      <c r="AV74" s="9"/>
      <c r="AW74" s="9"/>
      <c r="AX74" s="9"/>
      <c r="AY74" s="9"/>
      <c r="AZ74" s="10"/>
      <c r="BA74" s="10"/>
      <c r="BB74" s="10"/>
      <c r="BC74" s="10"/>
      <c r="BD74" s="10"/>
      <c r="BE74" s="11"/>
      <c r="BF74" s="85"/>
      <c r="BG74" s="5"/>
      <c r="BH74" s="9"/>
      <c r="BI74" s="9"/>
      <c r="BJ74" s="9"/>
      <c r="BK74" s="9"/>
      <c r="BL74" s="9"/>
      <c r="BM74" s="9"/>
      <c r="BN74" s="9"/>
      <c r="BO74" s="10"/>
      <c r="BP74" s="10"/>
      <c r="BQ74" s="10"/>
      <c r="BR74" s="10"/>
      <c r="BS74" s="11"/>
      <c r="BT74" s="85"/>
      <c r="BU74" s="25"/>
      <c r="BV74" s="6"/>
      <c r="BW74" s="6"/>
      <c r="BX74" s="6"/>
      <c r="BY74" s="6"/>
      <c r="BZ74" s="6"/>
      <c r="CA74" s="6"/>
      <c r="CB74" s="9"/>
      <c r="CC74" s="9"/>
      <c r="CD74" s="9"/>
      <c r="CE74" s="9"/>
      <c r="CF74" s="9"/>
      <c r="CG74" s="11"/>
      <c r="CH74" s="61"/>
      <c r="CI74" s="182"/>
      <c r="CJ74" s="52"/>
      <c r="CK74" s="312"/>
      <c r="CL74" s="313"/>
      <c r="CM74" s="313"/>
      <c r="CN74" s="313"/>
      <c r="CO74" s="314"/>
      <c r="CP74" s="35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</row>
    <row r="75" spans="1:143" s="119" customFormat="1" ht="11.45" customHeight="1" x14ac:dyDescent="0.2">
      <c r="A75" s="182"/>
      <c r="B75" s="44"/>
      <c r="C75" s="12"/>
      <c r="D75" s="13"/>
      <c r="E75" s="13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85"/>
      <c r="Q75" s="12"/>
      <c r="R75" s="13"/>
      <c r="S75" s="13"/>
      <c r="T75" s="13"/>
      <c r="U75" s="13"/>
      <c r="V75" s="13"/>
      <c r="W75" s="13"/>
      <c r="X75" s="13"/>
      <c r="Y75" s="13"/>
      <c r="Z75" s="13"/>
      <c r="AA75" s="14"/>
      <c r="AB75" s="14"/>
      <c r="AC75" s="15"/>
      <c r="AD75" s="85"/>
      <c r="AE75" s="12"/>
      <c r="AF75" s="13"/>
      <c r="AG75" s="13"/>
      <c r="AH75" s="13"/>
      <c r="AI75" s="13"/>
      <c r="AJ75" s="13"/>
      <c r="AK75" s="13"/>
      <c r="AL75" s="13"/>
      <c r="AM75" s="14"/>
      <c r="AN75" s="14"/>
      <c r="AO75" s="14"/>
      <c r="AP75" s="14"/>
      <c r="AQ75" s="15"/>
      <c r="AR75" s="85"/>
      <c r="AS75" s="12"/>
      <c r="AT75" s="13"/>
      <c r="AU75" s="13"/>
      <c r="AV75" s="13"/>
      <c r="AW75" s="13"/>
      <c r="AX75" s="13"/>
      <c r="AY75" s="13"/>
      <c r="AZ75" s="14"/>
      <c r="BA75" s="14"/>
      <c r="BB75" s="14"/>
      <c r="BC75" s="14"/>
      <c r="BD75" s="14"/>
      <c r="BE75" s="15"/>
      <c r="BF75" s="85"/>
      <c r="BG75" s="12"/>
      <c r="BH75" s="13"/>
      <c r="BI75" s="13"/>
      <c r="BJ75" s="13"/>
      <c r="BK75" s="13"/>
      <c r="BL75" s="13"/>
      <c r="BM75" s="13"/>
      <c r="BN75" s="13"/>
      <c r="BO75" s="14"/>
      <c r="BP75" s="14"/>
      <c r="BQ75" s="14"/>
      <c r="BR75" s="14"/>
      <c r="BS75" s="15"/>
      <c r="BT75" s="85"/>
      <c r="BU75" s="12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5"/>
      <c r="CH75" s="61"/>
      <c r="CI75" s="182"/>
      <c r="CJ75" s="52"/>
      <c r="CK75" s="315" t="s">
        <v>57</v>
      </c>
      <c r="CL75" s="316"/>
      <c r="CM75" s="316"/>
      <c r="CN75" s="316"/>
      <c r="CO75" s="317"/>
      <c r="CP75" s="34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</row>
    <row r="76" spans="1:143" s="119" customFormat="1" ht="11.45" customHeight="1" x14ac:dyDescent="0.2">
      <c r="A76" s="182">
        <v>2300</v>
      </c>
      <c r="B76" s="44"/>
      <c r="C76" s="5"/>
      <c r="D76" s="9"/>
      <c r="E76" s="9"/>
      <c r="F76" s="10"/>
      <c r="G76" s="10"/>
      <c r="H76" s="10"/>
      <c r="I76" s="10"/>
      <c r="J76" s="10"/>
      <c r="K76" s="10"/>
      <c r="L76" s="10"/>
      <c r="M76" s="10"/>
      <c r="N76" s="10"/>
      <c r="O76" s="11"/>
      <c r="P76" s="85"/>
      <c r="Q76" s="5"/>
      <c r="R76" s="9"/>
      <c r="S76" s="9"/>
      <c r="T76" s="9"/>
      <c r="U76" s="9"/>
      <c r="V76" s="9"/>
      <c r="W76" s="9"/>
      <c r="X76" s="10"/>
      <c r="Y76" s="10"/>
      <c r="Z76" s="10"/>
      <c r="AA76" s="10"/>
      <c r="AB76" s="10"/>
      <c r="AC76" s="11"/>
      <c r="AD76" s="85"/>
      <c r="AE76" s="5"/>
      <c r="AF76" s="9"/>
      <c r="AG76" s="9"/>
      <c r="AH76" s="9"/>
      <c r="AI76" s="9"/>
      <c r="AJ76" s="9"/>
      <c r="AK76" s="9"/>
      <c r="AL76" s="9"/>
      <c r="AM76" s="10"/>
      <c r="AN76" s="10"/>
      <c r="AO76" s="10"/>
      <c r="AP76" s="10"/>
      <c r="AQ76" s="11"/>
      <c r="AR76" s="85"/>
      <c r="AS76" s="5"/>
      <c r="AT76" s="9"/>
      <c r="AU76" s="9"/>
      <c r="AV76" s="9"/>
      <c r="AW76" s="9"/>
      <c r="AX76" s="9"/>
      <c r="AY76" s="9"/>
      <c r="AZ76" s="10"/>
      <c r="BA76" s="10"/>
      <c r="BB76" s="10"/>
      <c r="BC76" s="10"/>
      <c r="BD76" s="10"/>
      <c r="BE76" s="11"/>
      <c r="BF76" s="85"/>
      <c r="BG76" s="5"/>
      <c r="BH76" s="9"/>
      <c r="BI76" s="9"/>
      <c r="BJ76" s="9"/>
      <c r="BK76" s="9"/>
      <c r="BL76" s="9"/>
      <c r="BM76" s="9"/>
      <c r="BN76" s="9"/>
      <c r="BO76" s="10"/>
      <c r="BP76" s="10"/>
      <c r="BQ76" s="10"/>
      <c r="BR76" s="10"/>
      <c r="BS76" s="11"/>
      <c r="BT76" s="85"/>
      <c r="BU76" s="25"/>
      <c r="BV76" s="6"/>
      <c r="BW76" s="6"/>
      <c r="BX76" s="6"/>
      <c r="BY76" s="6"/>
      <c r="BZ76" s="6"/>
      <c r="CA76" s="6"/>
      <c r="CB76" s="9"/>
      <c r="CC76" s="9"/>
      <c r="CD76" s="9"/>
      <c r="CE76" s="9"/>
      <c r="CF76" s="9"/>
      <c r="CG76" s="11"/>
      <c r="CH76" s="61"/>
      <c r="CI76" s="182">
        <v>2300</v>
      </c>
      <c r="CJ76" s="52"/>
      <c r="CK76" s="318"/>
      <c r="CL76" s="319"/>
      <c r="CM76" s="319"/>
      <c r="CN76" s="319"/>
      <c r="CO76" s="320"/>
      <c r="CP76" s="34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</row>
    <row r="77" spans="1:143" s="119" customFormat="1" ht="11.45" customHeight="1" x14ac:dyDescent="0.2">
      <c r="A77" s="182"/>
      <c r="B77" s="44"/>
      <c r="C77" s="12"/>
      <c r="D77" s="13"/>
      <c r="E77" s="13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85"/>
      <c r="Q77" s="12"/>
      <c r="R77" s="13"/>
      <c r="S77" s="13"/>
      <c r="T77" s="13"/>
      <c r="U77" s="13"/>
      <c r="V77" s="13"/>
      <c r="W77" s="13"/>
      <c r="X77" s="14"/>
      <c r="Y77" s="14"/>
      <c r="Z77" s="14"/>
      <c r="AA77" s="14"/>
      <c r="AB77" s="14"/>
      <c r="AC77" s="15"/>
      <c r="AD77" s="85"/>
      <c r="AE77" s="12"/>
      <c r="AF77" s="13"/>
      <c r="AG77" s="13"/>
      <c r="AH77" s="13"/>
      <c r="AI77" s="13"/>
      <c r="AJ77" s="13"/>
      <c r="AK77" s="13"/>
      <c r="AL77" s="13"/>
      <c r="AM77" s="14"/>
      <c r="AN77" s="14"/>
      <c r="AO77" s="14"/>
      <c r="AP77" s="14"/>
      <c r="AQ77" s="15"/>
      <c r="AR77" s="85"/>
      <c r="AS77" s="12"/>
      <c r="AT77" s="13"/>
      <c r="AU77" s="13"/>
      <c r="AV77" s="13"/>
      <c r="AW77" s="13"/>
      <c r="AX77" s="13"/>
      <c r="AY77" s="13"/>
      <c r="AZ77" s="14"/>
      <c r="BA77" s="14"/>
      <c r="BB77" s="14"/>
      <c r="BC77" s="14"/>
      <c r="BD77" s="14"/>
      <c r="BE77" s="15"/>
      <c r="BF77" s="85"/>
      <c r="BG77" s="12"/>
      <c r="BH77" s="13"/>
      <c r="BI77" s="13"/>
      <c r="BJ77" s="13"/>
      <c r="BK77" s="13"/>
      <c r="BL77" s="13"/>
      <c r="BM77" s="13"/>
      <c r="BN77" s="13"/>
      <c r="BO77" s="14"/>
      <c r="BP77" s="14"/>
      <c r="BQ77" s="14"/>
      <c r="BR77" s="14"/>
      <c r="BS77" s="15"/>
      <c r="BT77" s="85"/>
      <c r="BU77" s="12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5"/>
      <c r="CH77" s="61"/>
      <c r="CI77" s="182"/>
      <c r="CJ77" s="52"/>
      <c r="CK77" s="309" t="s">
        <v>79</v>
      </c>
      <c r="CL77" s="310"/>
      <c r="CM77" s="310"/>
      <c r="CN77" s="310"/>
      <c r="CO77" s="311"/>
      <c r="CP77" s="34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</row>
    <row r="78" spans="1:143" s="119" customFormat="1" ht="11.45" customHeight="1" x14ac:dyDescent="0.2">
      <c r="A78" s="182"/>
      <c r="B78" s="44"/>
      <c r="C78" s="5"/>
      <c r="D78" s="9"/>
      <c r="E78" s="9"/>
      <c r="F78" s="10"/>
      <c r="G78" s="10"/>
      <c r="H78" s="10"/>
      <c r="I78" s="10"/>
      <c r="J78" s="10"/>
      <c r="K78" s="10"/>
      <c r="L78" s="10"/>
      <c r="M78" s="10"/>
      <c r="N78" s="10"/>
      <c r="O78" s="11"/>
      <c r="P78" s="85"/>
      <c r="Q78" s="5"/>
      <c r="R78" s="9"/>
      <c r="S78" s="9"/>
      <c r="T78" s="9"/>
      <c r="U78" s="9"/>
      <c r="V78" s="9"/>
      <c r="W78" s="9"/>
      <c r="X78" s="10"/>
      <c r="Y78" s="10"/>
      <c r="Z78" s="10"/>
      <c r="AA78" s="10"/>
      <c r="AB78" s="10"/>
      <c r="AC78" s="11"/>
      <c r="AD78" s="85"/>
      <c r="AE78" s="5"/>
      <c r="AF78" s="9"/>
      <c r="AG78" s="9"/>
      <c r="AH78" s="9"/>
      <c r="AI78" s="9"/>
      <c r="AJ78" s="9"/>
      <c r="AK78" s="9"/>
      <c r="AL78" s="9"/>
      <c r="AM78" s="10"/>
      <c r="AN78" s="10"/>
      <c r="AO78" s="10"/>
      <c r="AP78" s="10"/>
      <c r="AQ78" s="11"/>
      <c r="AR78" s="85"/>
      <c r="AS78" s="5"/>
      <c r="AT78" s="9"/>
      <c r="AU78" s="9"/>
      <c r="AV78" s="9"/>
      <c r="AW78" s="9"/>
      <c r="AX78" s="9"/>
      <c r="AY78" s="9"/>
      <c r="AZ78" s="10"/>
      <c r="BA78" s="10"/>
      <c r="BB78" s="10"/>
      <c r="BC78" s="10"/>
      <c r="BD78" s="10"/>
      <c r="BE78" s="11"/>
      <c r="BF78" s="85"/>
      <c r="BG78" s="5"/>
      <c r="BH78" s="9"/>
      <c r="BI78" s="9"/>
      <c r="BJ78" s="9"/>
      <c r="BK78" s="9"/>
      <c r="BL78" s="9"/>
      <c r="BM78" s="9"/>
      <c r="BN78" s="9"/>
      <c r="BO78" s="10"/>
      <c r="BP78" s="10"/>
      <c r="BQ78" s="10"/>
      <c r="BR78" s="10"/>
      <c r="BS78" s="11"/>
      <c r="BT78" s="85"/>
      <c r="BU78" s="25"/>
      <c r="BV78" s="6"/>
      <c r="BW78" s="6"/>
      <c r="BX78" s="6"/>
      <c r="BY78" s="6"/>
      <c r="BZ78" s="6"/>
      <c r="CA78" s="6"/>
      <c r="CB78" s="9"/>
      <c r="CC78" s="9"/>
      <c r="CD78" s="9"/>
      <c r="CE78" s="9"/>
      <c r="CF78" s="9"/>
      <c r="CG78" s="11"/>
      <c r="CH78" s="61"/>
      <c r="CI78" s="182"/>
      <c r="CJ78" s="52"/>
      <c r="CK78" s="312"/>
      <c r="CL78" s="313"/>
      <c r="CM78" s="313"/>
      <c r="CN78" s="313"/>
      <c r="CO78" s="314"/>
      <c r="CP78" s="34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</row>
    <row r="79" spans="1:143" s="119" customFormat="1" ht="11.45" customHeight="1" x14ac:dyDescent="0.2">
      <c r="A79" s="182"/>
      <c r="B79" s="44"/>
      <c r="C79" s="12"/>
      <c r="D79" s="13"/>
      <c r="E79" s="13"/>
      <c r="F79" s="14"/>
      <c r="G79" s="14"/>
      <c r="H79" s="14"/>
      <c r="I79" s="14"/>
      <c r="J79" s="14"/>
      <c r="K79" s="14"/>
      <c r="L79" s="14"/>
      <c r="M79" s="14"/>
      <c r="N79" s="14"/>
      <c r="O79" s="15"/>
      <c r="P79" s="85"/>
      <c r="Q79" s="12"/>
      <c r="R79" s="13"/>
      <c r="S79" s="13"/>
      <c r="T79" s="13"/>
      <c r="U79" s="13"/>
      <c r="V79" s="13"/>
      <c r="W79" s="13"/>
      <c r="X79" s="14"/>
      <c r="Y79" s="14"/>
      <c r="Z79" s="14"/>
      <c r="AA79" s="14"/>
      <c r="AB79" s="14"/>
      <c r="AC79" s="15"/>
      <c r="AD79" s="85"/>
      <c r="AE79" s="12"/>
      <c r="AF79" s="13"/>
      <c r="AG79" s="13"/>
      <c r="AH79" s="13"/>
      <c r="AI79" s="13"/>
      <c r="AJ79" s="13"/>
      <c r="AK79" s="13"/>
      <c r="AL79" s="13"/>
      <c r="AM79" s="14"/>
      <c r="AN79" s="14"/>
      <c r="AO79" s="14"/>
      <c r="AP79" s="14"/>
      <c r="AQ79" s="15"/>
      <c r="AR79" s="85"/>
      <c r="AS79" s="12"/>
      <c r="AT79" s="13"/>
      <c r="AU79" s="13"/>
      <c r="AV79" s="13"/>
      <c r="AW79" s="13"/>
      <c r="AX79" s="13"/>
      <c r="AY79" s="13"/>
      <c r="AZ79" s="14"/>
      <c r="BA79" s="14"/>
      <c r="BB79" s="14"/>
      <c r="BC79" s="14"/>
      <c r="BD79" s="14"/>
      <c r="BE79" s="15"/>
      <c r="BF79" s="85"/>
      <c r="BG79" s="12"/>
      <c r="BH79" s="13"/>
      <c r="BI79" s="13"/>
      <c r="BJ79" s="13"/>
      <c r="BK79" s="13"/>
      <c r="BL79" s="13"/>
      <c r="BM79" s="13"/>
      <c r="BN79" s="13"/>
      <c r="BO79" s="14"/>
      <c r="BP79" s="14"/>
      <c r="BQ79" s="14"/>
      <c r="BR79" s="14"/>
      <c r="BS79" s="15"/>
      <c r="BT79" s="85"/>
      <c r="BU79" s="12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5"/>
      <c r="CH79" s="61"/>
      <c r="CI79" s="182"/>
      <c r="CJ79" s="52"/>
      <c r="CK79" s="131" t="s">
        <v>77</v>
      </c>
      <c r="CL79" s="132"/>
      <c r="CM79" s="132"/>
      <c r="CN79" s="132"/>
      <c r="CO79" s="13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</row>
    <row r="80" spans="1:143" s="119" customFormat="1" ht="11.45" customHeight="1" x14ac:dyDescent="0.2">
      <c r="A80" s="182">
        <v>2400</v>
      </c>
      <c r="B80" s="44"/>
      <c r="C80" s="5"/>
      <c r="D80" s="9"/>
      <c r="E80" s="9"/>
      <c r="F80" s="10"/>
      <c r="G80" s="10"/>
      <c r="H80" s="10"/>
      <c r="I80" s="10"/>
      <c r="J80" s="10"/>
      <c r="K80" s="10"/>
      <c r="L80" s="10"/>
      <c r="M80" s="10"/>
      <c r="N80" s="10"/>
      <c r="O80" s="11"/>
      <c r="P80" s="85"/>
      <c r="Q80" s="5"/>
      <c r="R80" s="9"/>
      <c r="S80" s="9"/>
      <c r="T80" s="9"/>
      <c r="U80" s="9"/>
      <c r="V80" s="9"/>
      <c r="W80" s="9"/>
      <c r="X80" s="10"/>
      <c r="Y80" s="10"/>
      <c r="Z80" s="10"/>
      <c r="AA80" s="10"/>
      <c r="AB80" s="10"/>
      <c r="AC80" s="11"/>
      <c r="AD80" s="85"/>
      <c r="AE80" s="5"/>
      <c r="AF80" s="9"/>
      <c r="AG80" s="9"/>
      <c r="AH80" s="9"/>
      <c r="AI80" s="9"/>
      <c r="AJ80" s="9"/>
      <c r="AK80" s="9"/>
      <c r="AL80" s="9"/>
      <c r="AM80" s="10"/>
      <c r="AN80" s="10"/>
      <c r="AO80" s="10"/>
      <c r="AP80" s="10"/>
      <c r="AQ80" s="11"/>
      <c r="AR80" s="85"/>
      <c r="AS80" s="5"/>
      <c r="AT80" s="9"/>
      <c r="AU80" s="9"/>
      <c r="AV80" s="9"/>
      <c r="AW80" s="9"/>
      <c r="AX80" s="9"/>
      <c r="AY80" s="9"/>
      <c r="AZ80" s="10"/>
      <c r="BA80" s="10"/>
      <c r="BB80" s="10"/>
      <c r="BC80" s="10"/>
      <c r="BD80" s="10"/>
      <c r="BE80" s="11"/>
      <c r="BF80" s="85"/>
      <c r="BG80" s="5"/>
      <c r="BH80" s="9"/>
      <c r="BI80" s="9"/>
      <c r="BJ80" s="9"/>
      <c r="BK80" s="9"/>
      <c r="BL80" s="9"/>
      <c r="BM80" s="9"/>
      <c r="BN80" s="9"/>
      <c r="BO80" s="10"/>
      <c r="BP80" s="10"/>
      <c r="BQ80" s="10"/>
      <c r="BR80" s="10"/>
      <c r="BS80" s="11"/>
      <c r="BT80" s="85"/>
      <c r="BU80" s="25"/>
      <c r="BV80" s="6"/>
      <c r="BW80" s="6"/>
      <c r="BX80" s="6"/>
      <c r="BY80" s="6"/>
      <c r="BZ80" s="6"/>
      <c r="CA80" s="6"/>
      <c r="CB80" s="9"/>
      <c r="CC80" s="9"/>
      <c r="CD80" s="9"/>
      <c r="CE80" s="9"/>
      <c r="CF80" s="9"/>
      <c r="CG80" s="11"/>
      <c r="CH80" s="61"/>
      <c r="CI80" s="182">
        <v>2400</v>
      </c>
      <c r="CJ80" s="52"/>
      <c r="CK80" s="134"/>
      <c r="CL80" s="135"/>
      <c r="CM80" s="135"/>
      <c r="CN80" s="135"/>
      <c r="CO80" s="136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</row>
    <row r="81" spans="1:143" s="119" customFormat="1" ht="11.45" customHeight="1" x14ac:dyDescent="0.2">
      <c r="A81" s="182"/>
      <c r="B81" s="44"/>
      <c r="C81" s="12"/>
      <c r="D81" s="13"/>
      <c r="E81" s="13"/>
      <c r="F81" s="14"/>
      <c r="G81" s="14"/>
      <c r="H81" s="14"/>
      <c r="I81" s="14"/>
      <c r="J81" s="14"/>
      <c r="K81" s="14"/>
      <c r="L81" s="14"/>
      <c r="M81" s="14"/>
      <c r="N81" s="14"/>
      <c r="O81" s="15"/>
      <c r="P81" s="85"/>
      <c r="Q81" s="12"/>
      <c r="R81" s="13"/>
      <c r="S81" s="13"/>
      <c r="T81" s="13"/>
      <c r="U81" s="13"/>
      <c r="V81" s="13"/>
      <c r="W81" s="13"/>
      <c r="X81" s="14"/>
      <c r="Y81" s="14"/>
      <c r="Z81" s="14"/>
      <c r="AA81" s="14"/>
      <c r="AB81" s="14"/>
      <c r="AC81" s="15"/>
      <c r="AD81" s="85"/>
      <c r="AE81" s="12"/>
      <c r="AF81" s="13"/>
      <c r="AG81" s="13"/>
      <c r="AH81" s="13"/>
      <c r="AI81" s="13"/>
      <c r="AJ81" s="13"/>
      <c r="AK81" s="13"/>
      <c r="AL81" s="13"/>
      <c r="AM81" s="14"/>
      <c r="AN81" s="14"/>
      <c r="AO81" s="14"/>
      <c r="AP81" s="14"/>
      <c r="AQ81" s="15"/>
      <c r="AR81" s="85"/>
      <c r="AS81" s="12"/>
      <c r="AT81" s="13"/>
      <c r="AU81" s="13"/>
      <c r="AV81" s="13"/>
      <c r="AW81" s="13"/>
      <c r="AX81" s="13"/>
      <c r="AY81" s="13"/>
      <c r="AZ81" s="14"/>
      <c r="BA81" s="14"/>
      <c r="BB81" s="14"/>
      <c r="BC81" s="14"/>
      <c r="BD81" s="14"/>
      <c r="BE81" s="15"/>
      <c r="BF81" s="85"/>
      <c r="BG81" s="12"/>
      <c r="BH81" s="13"/>
      <c r="BI81" s="13"/>
      <c r="BJ81" s="13"/>
      <c r="BK81" s="13"/>
      <c r="BL81" s="13"/>
      <c r="BM81" s="13"/>
      <c r="BN81" s="13"/>
      <c r="BO81" s="14"/>
      <c r="BP81" s="14"/>
      <c r="BQ81" s="14"/>
      <c r="BR81" s="14"/>
      <c r="BS81" s="15"/>
      <c r="BT81" s="85"/>
      <c r="BU81" s="12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5"/>
      <c r="CH81" s="61"/>
      <c r="CI81" s="182"/>
      <c r="CJ81" s="52"/>
      <c r="CK81" s="134"/>
      <c r="CL81" s="135"/>
      <c r="CM81" s="135"/>
      <c r="CN81" s="135"/>
      <c r="CO81" s="136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</row>
    <row r="82" spans="1:143" s="119" customFormat="1" ht="11.45" customHeight="1" x14ac:dyDescent="0.2">
      <c r="A82" s="182"/>
      <c r="B82" s="44"/>
      <c r="C82" s="5"/>
      <c r="D82" s="9"/>
      <c r="E82" s="9"/>
      <c r="F82" s="10"/>
      <c r="G82" s="10"/>
      <c r="H82" s="10"/>
      <c r="I82" s="10"/>
      <c r="J82" s="10"/>
      <c r="K82" s="10"/>
      <c r="L82" s="10"/>
      <c r="M82" s="10"/>
      <c r="N82" s="10"/>
      <c r="O82" s="11"/>
      <c r="P82" s="85"/>
      <c r="Q82" s="5"/>
      <c r="R82" s="9"/>
      <c r="S82" s="9"/>
      <c r="T82" s="9"/>
      <c r="U82" s="9"/>
      <c r="V82" s="9"/>
      <c r="W82" s="9"/>
      <c r="X82" s="10"/>
      <c r="Y82" s="10"/>
      <c r="Z82" s="10"/>
      <c r="AA82" s="10"/>
      <c r="AB82" s="10"/>
      <c r="AC82" s="11"/>
      <c r="AD82" s="85"/>
      <c r="AE82" s="5"/>
      <c r="AF82" s="9"/>
      <c r="AG82" s="9"/>
      <c r="AH82" s="9"/>
      <c r="AI82" s="9"/>
      <c r="AJ82" s="9"/>
      <c r="AK82" s="9"/>
      <c r="AL82" s="9"/>
      <c r="AM82" s="10"/>
      <c r="AN82" s="10"/>
      <c r="AO82" s="10"/>
      <c r="AP82" s="10"/>
      <c r="AQ82" s="11"/>
      <c r="AR82" s="85"/>
      <c r="AS82" s="5"/>
      <c r="AT82" s="9"/>
      <c r="AU82" s="9"/>
      <c r="AV82" s="9"/>
      <c r="AW82" s="9"/>
      <c r="AX82" s="9"/>
      <c r="AY82" s="9"/>
      <c r="AZ82" s="10"/>
      <c r="BA82" s="10"/>
      <c r="BB82" s="10"/>
      <c r="BC82" s="10"/>
      <c r="BD82" s="10"/>
      <c r="BE82" s="11"/>
      <c r="BF82" s="85"/>
      <c r="BG82" s="5"/>
      <c r="BH82" s="9"/>
      <c r="BI82" s="9"/>
      <c r="BJ82" s="9"/>
      <c r="BK82" s="9"/>
      <c r="BL82" s="9"/>
      <c r="BM82" s="9"/>
      <c r="BN82" s="9"/>
      <c r="BO82" s="10"/>
      <c r="BP82" s="10"/>
      <c r="BQ82" s="10"/>
      <c r="BR82" s="10"/>
      <c r="BS82" s="11"/>
      <c r="BT82" s="85"/>
      <c r="BU82" s="25"/>
      <c r="BV82" s="6"/>
      <c r="BW82" s="6"/>
      <c r="BX82" s="6"/>
      <c r="BY82" s="6"/>
      <c r="BZ82" s="6"/>
      <c r="CA82" s="6"/>
      <c r="CB82" s="9"/>
      <c r="CC82" s="9"/>
      <c r="CD82" s="9"/>
      <c r="CE82" s="9"/>
      <c r="CF82" s="9"/>
      <c r="CG82" s="11"/>
      <c r="CH82" s="61"/>
      <c r="CI82" s="182"/>
      <c r="CJ82" s="52"/>
      <c r="CK82" s="134"/>
      <c r="CL82" s="135"/>
      <c r="CM82" s="135"/>
      <c r="CN82" s="135"/>
      <c r="CO82" s="136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</row>
    <row r="83" spans="1:143" s="119" customFormat="1" ht="11.45" customHeight="1" x14ac:dyDescent="0.2">
      <c r="A83" s="183"/>
      <c r="B83" s="51"/>
      <c r="C83" s="28"/>
      <c r="D83" s="29"/>
      <c r="E83" s="29"/>
      <c r="F83" s="30"/>
      <c r="G83" s="30"/>
      <c r="H83" s="30"/>
      <c r="I83" s="30"/>
      <c r="J83" s="30"/>
      <c r="K83" s="30"/>
      <c r="L83" s="30"/>
      <c r="M83" s="30"/>
      <c r="N83" s="14"/>
      <c r="O83" s="15"/>
      <c r="P83" s="85"/>
      <c r="Q83" s="12"/>
      <c r="R83" s="13"/>
      <c r="S83" s="13"/>
      <c r="T83" s="13"/>
      <c r="U83" s="13"/>
      <c r="V83" s="13"/>
      <c r="W83" s="13"/>
      <c r="X83" s="14"/>
      <c r="Y83" s="14"/>
      <c r="Z83" s="14"/>
      <c r="AA83" s="14"/>
      <c r="AB83" s="14"/>
      <c r="AC83" s="15"/>
      <c r="AD83" s="85"/>
      <c r="AE83" s="12"/>
      <c r="AF83" s="29"/>
      <c r="AG83" s="29"/>
      <c r="AH83" s="29"/>
      <c r="AI83" s="29"/>
      <c r="AJ83" s="29"/>
      <c r="AK83" s="29"/>
      <c r="AL83" s="29"/>
      <c r="AM83" s="30"/>
      <c r="AN83" s="30"/>
      <c r="AO83" s="30"/>
      <c r="AP83" s="30"/>
      <c r="AQ83" s="31"/>
      <c r="AR83" s="85"/>
      <c r="AS83" s="28"/>
      <c r="AT83" s="29"/>
      <c r="AU83" s="29"/>
      <c r="AV83" s="29"/>
      <c r="AW83" s="29"/>
      <c r="AX83" s="29"/>
      <c r="AY83" s="29"/>
      <c r="AZ83" s="30"/>
      <c r="BA83" s="30"/>
      <c r="BB83" s="30"/>
      <c r="BC83" s="30"/>
      <c r="BD83" s="30"/>
      <c r="BE83" s="31"/>
      <c r="BF83" s="85"/>
      <c r="BG83" s="28"/>
      <c r="BH83" s="29"/>
      <c r="BI83" s="29"/>
      <c r="BJ83" s="29"/>
      <c r="BK83" s="29"/>
      <c r="BL83" s="29"/>
      <c r="BM83" s="29"/>
      <c r="BN83" s="29"/>
      <c r="BO83" s="30"/>
      <c r="BP83" s="30"/>
      <c r="BQ83" s="30"/>
      <c r="BR83" s="30"/>
      <c r="BS83" s="31"/>
      <c r="BT83" s="85"/>
      <c r="BU83" s="12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5"/>
      <c r="CH83" s="61"/>
      <c r="CI83" s="183"/>
      <c r="CJ83" s="52"/>
      <c r="CK83" s="134"/>
      <c r="CL83" s="135"/>
      <c r="CM83" s="135"/>
      <c r="CN83" s="135"/>
      <c r="CO83" s="136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</row>
    <row r="84" spans="1:143" s="37" customFormat="1" ht="12.95" customHeight="1" x14ac:dyDescent="0.2">
      <c r="A84" s="38"/>
      <c r="B84" s="91"/>
      <c r="C84" s="72" t="s">
        <v>0</v>
      </c>
      <c r="D84" s="173" t="s">
        <v>62</v>
      </c>
      <c r="E84" s="184"/>
      <c r="F84" s="184"/>
      <c r="G84" s="184"/>
      <c r="H84" s="184"/>
      <c r="I84" s="184"/>
      <c r="J84" s="184"/>
      <c r="K84" s="174"/>
      <c r="L84" s="173" t="s">
        <v>48</v>
      </c>
      <c r="M84" s="174"/>
      <c r="N84" s="173" t="s">
        <v>63</v>
      </c>
      <c r="O84" s="174"/>
      <c r="P84" s="85"/>
      <c r="Q84" s="72" t="s">
        <v>0</v>
      </c>
      <c r="R84" s="173" t="s">
        <v>62</v>
      </c>
      <c r="S84" s="184"/>
      <c r="T84" s="184"/>
      <c r="U84" s="184"/>
      <c r="V84" s="184"/>
      <c r="W84" s="184"/>
      <c r="X84" s="184"/>
      <c r="Y84" s="174"/>
      <c r="Z84" s="173" t="s">
        <v>48</v>
      </c>
      <c r="AA84" s="174"/>
      <c r="AB84" s="173" t="s">
        <v>63</v>
      </c>
      <c r="AC84" s="174"/>
      <c r="AD84" s="85"/>
      <c r="AE84" s="72" t="s">
        <v>0</v>
      </c>
      <c r="AF84" s="173" t="s">
        <v>62</v>
      </c>
      <c r="AG84" s="184"/>
      <c r="AH84" s="184"/>
      <c r="AI84" s="184"/>
      <c r="AJ84" s="184"/>
      <c r="AK84" s="184"/>
      <c r="AL84" s="184"/>
      <c r="AM84" s="174"/>
      <c r="AN84" s="173" t="s">
        <v>48</v>
      </c>
      <c r="AO84" s="174"/>
      <c r="AP84" s="173" t="s">
        <v>63</v>
      </c>
      <c r="AQ84" s="174"/>
      <c r="AR84" s="85"/>
      <c r="AS84" s="72" t="s">
        <v>0</v>
      </c>
      <c r="AT84" s="173" t="s">
        <v>62</v>
      </c>
      <c r="AU84" s="184"/>
      <c r="AV84" s="184"/>
      <c r="AW84" s="184"/>
      <c r="AX84" s="184"/>
      <c r="AY84" s="184"/>
      <c r="AZ84" s="184"/>
      <c r="BA84" s="174"/>
      <c r="BB84" s="173" t="s">
        <v>48</v>
      </c>
      <c r="BC84" s="174"/>
      <c r="BD84" s="173" t="s">
        <v>63</v>
      </c>
      <c r="BE84" s="174"/>
      <c r="BF84" s="85"/>
      <c r="BG84" s="72" t="s">
        <v>0</v>
      </c>
      <c r="BH84" s="173" t="s">
        <v>62</v>
      </c>
      <c r="BI84" s="184"/>
      <c r="BJ84" s="184"/>
      <c r="BK84" s="184"/>
      <c r="BL84" s="184"/>
      <c r="BM84" s="184"/>
      <c r="BN84" s="184"/>
      <c r="BO84" s="174"/>
      <c r="BP84" s="173" t="s">
        <v>48</v>
      </c>
      <c r="BQ84" s="174"/>
      <c r="BR84" s="173" t="s">
        <v>63</v>
      </c>
      <c r="BS84" s="174"/>
      <c r="BT84" s="85"/>
      <c r="BU84" s="72" t="s">
        <v>0</v>
      </c>
      <c r="BV84" s="173" t="s">
        <v>62</v>
      </c>
      <c r="BW84" s="184"/>
      <c r="BX84" s="184"/>
      <c r="BY84" s="184"/>
      <c r="BZ84" s="184"/>
      <c r="CA84" s="184"/>
      <c r="CB84" s="184"/>
      <c r="CC84" s="174"/>
      <c r="CD84" s="173" t="s">
        <v>48</v>
      </c>
      <c r="CE84" s="174"/>
      <c r="CF84" s="173" t="s">
        <v>63</v>
      </c>
      <c r="CG84" s="174"/>
      <c r="CH84" s="48"/>
      <c r="CI84" s="68"/>
      <c r="CJ84" s="53"/>
      <c r="CK84" s="134"/>
      <c r="CL84" s="135"/>
      <c r="CM84" s="135"/>
      <c r="CN84" s="135"/>
      <c r="CO84" s="136"/>
    </row>
    <row r="85" spans="1:143" s="32" customFormat="1" ht="12.95" customHeight="1" x14ac:dyDescent="0.2">
      <c r="A85" s="167" t="s">
        <v>58</v>
      </c>
      <c r="B85" s="45"/>
      <c r="C85" s="308" t="s">
        <v>10</v>
      </c>
      <c r="D85" s="152" t="s">
        <v>11</v>
      </c>
      <c r="E85" s="158"/>
      <c r="F85" s="158"/>
      <c r="G85" s="158"/>
      <c r="H85" s="158"/>
      <c r="I85" s="158"/>
      <c r="J85" s="158"/>
      <c r="K85" s="153"/>
      <c r="L85" s="152" t="s">
        <v>12</v>
      </c>
      <c r="M85" s="153"/>
      <c r="N85" s="152" t="s">
        <v>13</v>
      </c>
      <c r="O85" s="153"/>
      <c r="P85" s="85"/>
      <c r="Q85" s="280" t="s">
        <v>16</v>
      </c>
      <c r="R85" s="152" t="s">
        <v>18</v>
      </c>
      <c r="S85" s="158"/>
      <c r="T85" s="158"/>
      <c r="U85" s="158"/>
      <c r="V85" s="158"/>
      <c r="W85" s="158"/>
      <c r="X85" s="158"/>
      <c r="Y85" s="153"/>
      <c r="Z85" s="152" t="s">
        <v>12</v>
      </c>
      <c r="AA85" s="153"/>
      <c r="AB85" s="152" t="s">
        <v>19</v>
      </c>
      <c r="AC85" s="153"/>
      <c r="AD85" s="85"/>
      <c r="AE85" s="284"/>
      <c r="AF85" s="163"/>
      <c r="AG85" s="304"/>
      <c r="AH85" s="304"/>
      <c r="AI85" s="304"/>
      <c r="AJ85" s="304"/>
      <c r="AK85" s="304"/>
      <c r="AL85" s="304"/>
      <c r="AM85" s="164"/>
      <c r="AN85" s="163"/>
      <c r="AO85" s="164"/>
      <c r="AP85" s="163"/>
      <c r="AQ85" s="164"/>
      <c r="AR85" s="85"/>
      <c r="AS85" s="284"/>
      <c r="AT85" s="163"/>
      <c r="AU85" s="304"/>
      <c r="AV85" s="304"/>
      <c r="AW85" s="304"/>
      <c r="AX85" s="304"/>
      <c r="AY85" s="304"/>
      <c r="AZ85" s="304"/>
      <c r="BA85" s="164"/>
      <c r="BB85" s="163"/>
      <c r="BC85" s="164"/>
      <c r="BD85" s="163"/>
      <c r="BE85" s="164"/>
      <c r="BF85" s="85"/>
      <c r="BG85" s="280">
        <v>1200</v>
      </c>
      <c r="BH85" s="169" t="s">
        <v>24</v>
      </c>
      <c r="BI85" s="306"/>
      <c r="BJ85" s="306"/>
      <c r="BK85" s="306"/>
      <c r="BL85" s="306"/>
      <c r="BM85" s="306"/>
      <c r="BN85" s="306"/>
      <c r="BO85" s="170"/>
      <c r="BP85" s="169" t="s">
        <v>12</v>
      </c>
      <c r="BQ85" s="170"/>
      <c r="BR85" s="169" t="s">
        <v>25</v>
      </c>
      <c r="BS85" s="170"/>
      <c r="BT85" s="85"/>
      <c r="BU85" s="284"/>
      <c r="BV85" s="163"/>
      <c r="BW85" s="304"/>
      <c r="BX85" s="304"/>
      <c r="BY85" s="304"/>
      <c r="BZ85" s="304"/>
      <c r="CA85" s="304"/>
      <c r="CB85" s="304"/>
      <c r="CC85" s="164"/>
      <c r="CD85" s="163"/>
      <c r="CE85" s="164"/>
      <c r="CF85" s="163"/>
      <c r="CG85" s="164"/>
      <c r="CH85" s="49"/>
      <c r="CI85" s="167" t="s">
        <v>58</v>
      </c>
      <c r="CJ85" s="54"/>
      <c r="CK85" s="134"/>
      <c r="CL85" s="135"/>
      <c r="CM85" s="135"/>
      <c r="CN85" s="135"/>
      <c r="CO85" s="136"/>
    </row>
    <row r="86" spans="1:143" s="32" customFormat="1" ht="12.95" customHeight="1" x14ac:dyDescent="0.2">
      <c r="A86" s="167"/>
      <c r="B86" s="45"/>
      <c r="C86" s="281"/>
      <c r="D86" s="154"/>
      <c r="E86" s="159"/>
      <c r="F86" s="159"/>
      <c r="G86" s="159"/>
      <c r="H86" s="159"/>
      <c r="I86" s="159"/>
      <c r="J86" s="159"/>
      <c r="K86" s="155"/>
      <c r="L86" s="154"/>
      <c r="M86" s="155"/>
      <c r="N86" s="154"/>
      <c r="O86" s="155"/>
      <c r="P86" s="85"/>
      <c r="Q86" s="281"/>
      <c r="R86" s="154"/>
      <c r="S86" s="159"/>
      <c r="T86" s="159"/>
      <c r="U86" s="159"/>
      <c r="V86" s="159"/>
      <c r="W86" s="159"/>
      <c r="X86" s="159"/>
      <c r="Y86" s="155"/>
      <c r="Z86" s="154"/>
      <c r="AA86" s="155"/>
      <c r="AB86" s="154"/>
      <c r="AC86" s="155"/>
      <c r="AD86" s="85"/>
      <c r="AE86" s="157"/>
      <c r="AF86" s="165"/>
      <c r="AG86" s="305"/>
      <c r="AH86" s="305"/>
      <c r="AI86" s="305"/>
      <c r="AJ86" s="305"/>
      <c r="AK86" s="305"/>
      <c r="AL86" s="305"/>
      <c r="AM86" s="166"/>
      <c r="AN86" s="165"/>
      <c r="AO86" s="166"/>
      <c r="AP86" s="165"/>
      <c r="AQ86" s="166"/>
      <c r="AR86" s="85"/>
      <c r="AS86" s="157"/>
      <c r="AT86" s="165"/>
      <c r="AU86" s="305"/>
      <c r="AV86" s="305"/>
      <c r="AW86" s="305"/>
      <c r="AX86" s="305"/>
      <c r="AY86" s="305"/>
      <c r="AZ86" s="305"/>
      <c r="BA86" s="166"/>
      <c r="BB86" s="165"/>
      <c r="BC86" s="166"/>
      <c r="BD86" s="165"/>
      <c r="BE86" s="166"/>
      <c r="BF86" s="85"/>
      <c r="BG86" s="281"/>
      <c r="BH86" s="171"/>
      <c r="BI86" s="307"/>
      <c r="BJ86" s="307"/>
      <c r="BK86" s="307"/>
      <c r="BL86" s="307"/>
      <c r="BM86" s="307"/>
      <c r="BN86" s="307"/>
      <c r="BO86" s="172"/>
      <c r="BP86" s="171"/>
      <c r="BQ86" s="172"/>
      <c r="BR86" s="171"/>
      <c r="BS86" s="172"/>
      <c r="BT86" s="85"/>
      <c r="BU86" s="157"/>
      <c r="BV86" s="165"/>
      <c r="BW86" s="305"/>
      <c r="BX86" s="305"/>
      <c r="BY86" s="305"/>
      <c r="BZ86" s="305"/>
      <c r="CA86" s="305"/>
      <c r="CB86" s="305"/>
      <c r="CC86" s="166"/>
      <c r="CD86" s="165"/>
      <c r="CE86" s="166"/>
      <c r="CF86" s="165"/>
      <c r="CG86" s="166"/>
      <c r="CH86" s="49"/>
      <c r="CI86" s="167"/>
      <c r="CJ86" s="54"/>
      <c r="CK86" s="134"/>
      <c r="CL86" s="135"/>
      <c r="CM86" s="135"/>
      <c r="CN86" s="135"/>
      <c r="CO86" s="136"/>
    </row>
    <row r="87" spans="1:143" s="32" customFormat="1" ht="12.95" customHeight="1" x14ac:dyDescent="0.2">
      <c r="A87" s="167"/>
      <c r="B87" s="45"/>
      <c r="C87" s="285">
        <v>1300</v>
      </c>
      <c r="D87" s="152" t="s">
        <v>14</v>
      </c>
      <c r="E87" s="158"/>
      <c r="F87" s="158"/>
      <c r="G87" s="158"/>
      <c r="H87" s="158"/>
      <c r="I87" s="158"/>
      <c r="J87" s="158"/>
      <c r="K87" s="153"/>
      <c r="L87" s="152" t="s">
        <v>12</v>
      </c>
      <c r="M87" s="153"/>
      <c r="N87" s="152" t="s">
        <v>15</v>
      </c>
      <c r="O87" s="153"/>
      <c r="P87" s="85"/>
      <c r="Q87" s="285" t="s">
        <v>17</v>
      </c>
      <c r="R87" s="152" t="s">
        <v>20</v>
      </c>
      <c r="S87" s="158"/>
      <c r="T87" s="158"/>
      <c r="U87" s="158"/>
      <c r="V87" s="158"/>
      <c r="W87" s="158"/>
      <c r="X87" s="158"/>
      <c r="Y87" s="153"/>
      <c r="Z87" s="152" t="s">
        <v>12</v>
      </c>
      <c r="AA87" s="153"/>
      <c r="AB87" s="152" t="s">
        <v>19</v>
      </c>
      <c r="AC87" s="153"/>
      <c r="AD87" s="85"/>
      <c r="AE87" s="156"/>
      <c r="AF87" s="163"/>
      <c r="AG87" s="304"/>
      <c r="AH87" s="304"/>
      <c r="AI87" s="304"/>
      <c r="AJ87" s="304"/>
      <c r="AK87" s="304"/>
      <c r="AL87" s="304"/>
      <c r="AM87" s="164"/>
      <c r="AN87" s="163"/>
      <c r="AO87" s="164"/>
      <c r="AP87" s="163"/>
      <c r="AQ87" s="164"/>
      <c r="AR87" s="85"/>
      <c r="AS87" s="156"/>
      <c r="AT87" s="163"/>
      <c r="AU87" s="304"/>
      <c r="AV87" s="304"/>
      <c r="AW87" s="304"/>
      <c r="AX87" s="304"/>
      <c r="AY87" s="304"/>
      <c r="AZ87" s="304"/>
      <c r="BA87" s="164"/>
      <c r="BB87" s="163"/>
      <c r="BC87" s="164"/>
      <c r="BD87" s="163"/>
      <c r="BE87" s="164"/>
      <c r="BF87" s="85"/>
      <c r="BG87" s="156"/>
      <c r="BH87" s="163"/>
      <c r="BI87" s="304"/>
      <c r="BJ87" s="304"/>
      <c r="BK87" s="304"/>
      <c r="BL87" s="304"/>
      <c r="BM87" s="304"/>
      <c r="BN87" s="304"/>
      <c r="BO87" s="164"/>
      <c r="BP87" s="163"/>
      <c r="BQ87" s="164"/>
      <c r="BR87" s="163"/>
      <c r="BS87" s="164"/>
      <c r="BT87" s="85"/>
      <c r="BU87" s="156"/>
      <c r="BV87" s="163"/>
      <c r="BW87" s="304"/>
      <c r="BX87" s="304"/>
      <c r="BY87" s="304"/>
      <c r="BZ87" s="304"/>
      <c r="CA87" s="304"/>
      <c r="CB87" s="304"/>
      <c r="CC87" s="164"/>
      <c r="CD87" s="163"/>
      <c r="CE87" s="164"/>
      <c r="CF87" s="163"/>
      <c r="CG87" s="164"/>
      <c r="CH87" s="49"/>
      <c r="CI87" s="167"/>
      <c r="CJ87" s="54"/>
      <c r="CK87" s="134"/>
      <c r="CL87" s="135"/>
      <c r="CM87" s="135"/>
      <c r="CN87" s="135"/>
      <c r="CO87" s="136"/>
    </row>
    <row r="88" spans="1:143" s="32" customFormat="1" ht="12.95" customHeight="1" x14ac:dyDescent="0.2">
      <c r="A88" s="167"/>
      <c r="B88" s="45"/>
      <c r="C88" s="281"/>
      <c r="D88" s="154"/>
      <c r="E88" s="159"/>
      <c r="F88" s="159"/>
      <c r="G88" s="159"/>
      <c r="H88" s="159"/>
      <c r="I88" s="159"/>
      <c r="J88" s="159"/>
      <c r="K88" s="155"/>
      <c r="L88" s="154"/>
      <c r="M88" s="155"/>
      <c r="N88" s="154"/>
      <c r="O88" s="155"/>
      <c r="P88" s="85"/>
      <c r="Q88" s="281"/>
      <c r="R88" s="154"/>
      <c r="S88" s="159"/>
      <c r="T88" s="159"/>
      <c r="U88" s="159"/>
      <c r="V88" s="159"/>
      <c r="W88" s="159"/>
      <c r="X88" s="159"/>
      <c r="Y88" s="155"/>
      <c r="Z88" s="154"/>
      <c r="AA88" s="155"/>
      <c r="AB88" s="154"/>
      <c r="AC88" s="155"/>
      <c r="AD88" s="85"/>
      <c r="AE88" s="157"/>
      <c r="AF88" s="165"/>
      <c r="AG88" s="305"/>
      <c r="AH88" s="305"/>
      <c r="AI88" s="305"/>
      <c r="AJ88" s="305"/>
      <c r="AK88" s="305"/>
      <c r="AL88" s="305"/>
      <c r="AM88" s="166"/>
      <c r="AN88" s="165"/>
      <c r="AO88" s="166"/>
      <c r="AP88" s="165"/>
      <c r="AQ88" s="166"/>
      <c r="AR88" s="85"/>
      <c r="AS88" s="157"/>
      <c r="AT88" s="165"/>
      <c r="AU88" s="305"/>
      <c r="AV88" s="305"/>
      <c r="AW88" s="305"/>
      <c r="AX88" s="305"/>
      <c r="AY88" s="305"/>
      <c r="AZ88" s="305"/>
      <c r="BA88" s="166"/>
      <c r="BB88" s="165"/>
      <c r="BC88" s="166"/>
      <c r="BD88" s="165"/>
      <c r="BE88" s="166"/>
      <c r="BF88" s="85"/>
      <c r="BG88" s="157"/>
      <c r="BH88" s="165"/>
      <c r="BI88" s="305"/>
      <c r="BJ88" s="305"/>
      <c r="BK88" s="305"/>
      <c r="BL88" s="305"/>
      <c r="BM88" s="305"/>
      <c r="BN88" s="305"/>
      <c r="BO88" s="166"/>
      <c r="BP88" s="165"/>
      <c r="BQ88" s="166"/>
      <c r="BR88" s="165"/>
      <c r="BS88" s="166"/>
      <c r="BT88" s="85"/>
      <c r="BU88" s="157"/>
      <c r="BV88" s="165"/>
      <c r="BW88" s="305"/>
      <c r="BX88" s="305"/>
      <c r="BY88" s="305"/>
      <c r="BZ88" s="305"/>
      <c r="CA88" s="305"/>
      <c r="CB88" s="305"/>
      <c r="CC88" s="166"/>
      <c r="CD88" s="165"/>
      <c r="CE88" s="166"/>
      <c r="CF88" s="165"/>
      <c r="CG88" s="166"/>
      <c r="CH88" s="49"/>
      <c r="CI88" s="167"/>
      <c r="CJ88" s="54"/>
      <c r="CK88" s="134"/>
      <c r="CL88" s="135"/>
      <c r="CM88" s="135"/>
      <c r="CN88" s="135"/>
      <c r="CO88" s="136"/>
    </row>
    <row r="89" spans="1:143" s="32" customFormat="1" ht="12.95" customHeight="1" x14ac:dyDescent="0.2">
      <c r="A89" s="167"/>
      <c r="B89" s="45"/>
      <c r="C89" s="285"/>
      <c r="D89" s="152"/>
      <c r="E89" s="158"/>
      <c r="F89" s="158"/>
      <c r="G89" s="158"/>
      <c r="H89" s="158"/>
      <c r="I89" s="158"/>
      <c r="J89" s="158"/>
      <c r="K89" s="153"/>
      <c r="L89" s="152"/>
      <c r="M89" s="153"/>
      <c r="N89" s="152"/>
      <c r="O89" s="153"/>
      <c r="P89" s="85"/>
      <c r="Q89" s="280">
        <v>1200</v>
      </c>
      <c r="R89" s="152" t="s">
        <v>21</v>
      </c>
      <c r="S89" s="158"/>
      <c r="T89" s="158"/>
      <c r="U89" s="158"/>
      <c r="V89" s="158"/>
      <c r="W89" s="158"/>
      <c r="X89" s="158"/>
      <c r="Y89" s="153"/>
      <c r="Z89" s="152" t="s">
        <v>22</v>
      </c>
      <c r="AA89" s="153"/>
      <c r="AB89" s="152" t="s">
        <v>23</v>
      </c>
      <c r="AC89" s="153"/>
      <c r="AD89" s="85"/>
      <c r="AE89" s="156"/>
      <c r="AF89" s="163"/>
      <c r="AG89" s="304"/>
      <c r="AH89" s="304"/>
      <c r="AI89" s="304"/>
      <c r="AJ89" s="304"/>
      <c r="AK89" s="304"/>
      <c r="AL89" s="304"/>
      <c r="AM89" s="164"/>
      <c r="AN89" s="163"/>
      <c r="AO89" s="164"/>
      <c r="AP89" s="163"/>
      <c r="AQ89" s="164"/>
      <c r="AR89" s="85"/>
      <c r="AS89" s="156"/>
      <c r="AT89" s="163"/>
      <c r="AU89" s="304"/>
      <c r="AV89" s="304"/>
      <c r="AW89" s="304"/>
      <c r="AX89" s="304"/>
      <c r="AY89" s="304"/>
      <c r="AZ89" s="304"/>
      <c r="BA89" s="164"/>
      <c r="BB89" s="163"/>
      <c r="BC89" s="164"/>
      <c r="BD89" s="163"/>
      <c r="BE89" s="164"/>
      <c r="BF89" s="85"/>
      <c r="BG89" s="156"/>
      <c r="BH89" s="163"/>
      <c r="BI89" s="304"/>
      <c r="BJ89" s="304"/>
      <c r="BK89" s="304"/>
      <c r="BL89" s="304"/>
      <c r="BM89" s="304"/>
      <c r="BN89" s="304"/>
      <c r="BO89" s="164"/>
      <c r="BP89" s="163"/>
      <c r="BQ89" s="164"/>
      <c r="BR89" s="163"/>
      <c r="BS89" s="164"/>
      <c r="BT89" s="85"/>
      <c r="BU89" s="156"/>
      <c r="BV89" s="163"/>
      <c r="BW89" s="304"/>
      <c r="BX89" s="304"/>
      <c r="BY89" s="304"/>
      <c r="BZ89" s="304"/>
      <c r="CA89" s="304"/>
      <c r="CB89" s="304"/>
      <c r="CC89" s="164"/>
      <c r="CD89" s="163"/>
      <c r="CE89" s="164"/>
      <c r="CF89" s="163"/>
      <c r="CG89" s="164"/>
      <c r="CH89" s="49"/>
      <c r="CI89" s="167"/>
      <c r="CJ89" s="54"/>
      <c r="CK89" s="134"/>
      <c r="CL89" s="135"/>
      <c r="CM89" s="135"/>
      <c r="CN89" s="135"/>
      <c r="CO89" s="136"/>
    </row>
    <row r="90" spans="1:143" s="32" customFormat="1" ht="12.95" customHeight="1" x14ac:dyDescent="0.2">
      <c r="A90" s="167"/>
      <c r="B90" s="45"/>
      <c r="C90" s="281"/>
      <c r="D90" s="154"/>
      <c r="E90" s="159"/>
      <c r="F90" s="159"/>
      <c r="G90" s="159"/>
      <c r="H90" s="159"/>
      <c r="I90" s="159"/>
      <c r="J90" s="159"/>
      <c r="K90" s="155"/>
      <c r="L90" s="154"/>
      <c r="M90" s="155"/>
      <c r="N90" s="154"/>
      <c r="O90" s="155"/>
      <c r="P90" s="85"/>
      <c r="Q90" s="281"/>
      <c r="R90" s="154"/>
      <c r="S90" s="159"/>
      <c r="T90" s="159"/>
      <c r="U90" s="159"/>
      <c r="V90" s="159"/>
      <c r="W90" s="159"/>
      <c r="X90" s="159"/>
      <c r="Y90" s="155"/>
      <c r="Z90" s="154"/>
      <c r="AA90" s="155"/>
      <c r="AB90" s="154"/>
      <c r="AC90" s="155"/>
      <c r="AD90" s="85"/>
      <c r="AE90" s="157"/>
      <c r="AF90" s="165"/>
      <c r="AG90" s="305"/>
      <c r="AH90" s="305"/>
      <c r="AI90" s="305"/>
      <c r="AJ90" s="305"/>
      <c r="AK90" s="305"/>
      <c r="AL90" s="305"/>
      <c r="AM90" s="166"/>
      <c r="AN90" s="165"/>
      <c r="AO90" s="166"/>
      <c r="AP90" s="165"/>
      <c r="AQ90" s="166"/>
      <c r="AR90" s="85"/>
      <c r="AS90" s="157"/>
      <c r="AT90" s="165"/>
      <c r="AU90" s="305"/>
      <c r="AV90" s="305"/>
      <c r="AW90" s="305"/>
      <c r="AX90" s="305"/>
      <c r="AY90" s="305"/>
      <c r="AZ90" s="305"/>
      <c r="BA90" s="166"/>
      <c r="BB90" s="165"/>
      <c r="BC90" s="166"/>
      <c r="BD90" s="165"/>
      <c r="BE90" s="166"/>
      <c r="BF90" s="85"/>
      <c r="BG90" s="157"/>
      <c r="BH90" s="165"/>
      <c r="BI90" s="305"/>
      <c r="BJ90" s="305"/>
      <c r="BK90" s="305"/>
      <c r="BL90" s="305"/>
      <c r="BM90" s="305"/>
      <c r="BN90" s="305"/>
      <c r="BO90" s="166"/>
      <c r="BP90" s="165"/>
      <c r="BQ90" s="166"/>
      <c r="BR90" s="165"/>
      <c r="BS90" s="166"/>
      <c r="BT90" s="85"/>
      <c r="BU90" s="157"/>
      <c r="BV90" s="165"/>
      <c r="BW90" s="305"/>
      <c r="BX90" s="305"/>
      <c r="BY90" s="305"/>
      <c r="BZ90" s="305"/>
      <c r="CA90" s="305"/>
      <c r="CB90" s="305"/>
      <c r="CC90" s="166"/>
      <c r="CD90" s="165"/>
      <c r="CE90" s="166"/>
      <c r="CF90" s="165"/>
      <c r="CG90" s="166"/>
      <c r="CH90" s="49"/>
      <c r="CI90" s="167"/>
      <c r="CJ90" s="54"/>
      <c r="CK90" s="134"/>
      <c r="CL90" s="135"/>
      <c r="CM90" s="135"/>
      <c r="CN90" s="135"/>
      <c r="CO90" s="136"/>
    </row>
    <row r="91" spans="1:143" s="32" customFormat="1" ht="12.95" customHeight="1" x14ac:dyDescent="0.2">
      <c r="A91" s="167"/>
      <c r="B91" s="45"/>
      <c r="C91" s="156"/>
      <c r="D91" s="163"/>
      <c r="E91" s="304"/>
      <c r="F91" s="304"/>
      <c r="G91" s="304"/>
      <c r="H91" s="304"/>
      <c r="I91" s="304"/>
      <c r="J91" s="304"/>
      <c r="K91" s="164"/>
      <c r="L91" s="163"/>
      <c r="M91" s="164"/>
      <c r="N91" s="163"/>
      <c r="O91" s="164"/>
      <c r="P91" s="85"/>
      <c r="Q91" s="282" t="s">
        <v>90</v>
      </c>
      <c r="R91" s="152" t="s">
        <v>91</v>
      </c>
      <c r="S91" s="158"/>
      <c r="T91" s="158"/>
      <c r="U91" s="158"/>
      <c r="V91" s="158"/>
      <c r="W91" s="158"/>
      <c r="X91" s="158"/>
      <c r="Y91" s="153"/>
      <c r="Z91" s="163" t="s">
        <v>92</v>
      </c>
      <c r="AA91" s="164"/>
      <c r="AB91" s="163"/>
      <c r="AC91" s="164"/>
      <c r="AD91" s="85"/>
      <c r="AE91" s="156"/>
      <c r="AF91" s="163"/>
      <c r="AG91" s="304"/>
      <c r="AH91" s="304"/>
      <c r="AI91" s="304"/>
      <c r="AJ91" s="304"/>
      <c r="AK91" s="304"/>
      <c r="AL91" s="304"/>
      <c r="AM91" s="164"/>
      <c r="AN91" s="163"/>
      <c r="AO91" s="164"/>
      <c r="AP91" s="163"/>
      <c r="AQ91" s="164"/>
      <c r="AR91" s="85"/>
      <c r="AS91" s="156"/>
      <c r="AT91" s="163"/>
      <c r="AU91" s="304"/>
      <c r="AV91" s="304"/>
      <c r="AW91" s="304"/>
      <c r="AX91" s="304"/>
      <c r="AY91" s="304"/>
      <c r="AZ91" s="304"/>
      <c r="BA91" s="164"/>
      <c r="BB91" s="163"/>
      <c r="BC91" s="164"/>
      <c r="BD91" s="163"/>
      <c r="BE91" s="164"/>
      <c r="BF91" s="85"/>
      <c r="BG91" s="156"/>
      <c r="BH91" s="163"/>
      <c r="BI91" s="304"/>
      <c r="BJ91" s="304"/>
      <c r="BK91" s="304"/>
      <c r="BL91" s="304"/>
      <c r="BM91" s="304"/>
      <c r="BN91" s="304"/>
      <c r="BO91" s="164"/>
      <c r="BP91" s="163"/>
      <c r="BQ91" s="164"/>
      <c r="BR91" s="163"/>
      <c r="BS91" s="164"/>
      <c r="BT91" s="85"/>
      <c r="BU91" s="156"/>
      <c r="BV91" s="163"/>
      <c r="BW91" s="304"/>
      <c r="BX91" s="304"/>
      <c r="BY91" s="304"/>
      <c r="BZ91" s="304"/>
      <c r="CA91" s="304"/>
      <c r="CB91" s="304"/>
      <c r="CC91" s="164"/>
      <c r="CD91" s="163"/>
      <c r="CE91" s="164"/>
      <c r="CF91" s="163"/>
      <c r="CG91" s="164"/>
      <c r="CH91" s="49"/>
      <c r="CI91" s="167"/>
      <c r="CJ91" s="54"/>
      <c r="CK91" s="134"/>
      <c r="CL91" s="135"/>
      <c r="CM91" s="135"/>
      <c r="CN91" s="135"/>
      <c r="CO91" s="136"/>
    </row>
    <row r="92" spans="1:143" s="32" customFormat="1" ht="12.95" customHeight="1" x14ac:dyDescent="0.2">
      <c r="A92" s="168"/>
      <c r="B92" s="92"/>
      <c r="C92" s="157"/>
      <c r="D92" s="165"/>
      <c r="E92" s="305"/>
      <c r="F92" s="305"/>
      <c r="G92" s="305"/>
      <c r="H92" s="305"/>
      <c r="I92" s="305"/>
      <c r="J92" s="305"/>
      <c r="K92" s="166"/>
      <c r="L92" s="165"/>
      <c r="M92" s="166"/>
      <c r="N92" s="165"/>
      <c r="O92" s="166"/>
      <c r="P92" s="85"/>
      <c r="Q92" s="283"/>
      <c r="R92" s="154"/>
      <c r="S92" s="159"/>
      <c r="T92" s="159"/>
      <c r="U92" s="159"/>
      <c r="V92" s="159"/>
      <c r="W92" s="159"/>
      <c r="X92" s="159"/>
      <c r="Y92" s="155"/>
      <c r="Z92" s="165"/>
      <c r="AA92" s="166"/>
      <c r="AB92" s="165"/>
      <c r="AC92" s="166"/>
      <c r="AD92" s="85"/>
      <c r="AE92" s="157"/>
      <c r="AF92" s="165"/>
      <c r="AG92" s="305"/>
      <c r="AH92" s="305"/>
      <c r="AI92" s="305"/>
      <c r="AJ92" s="305"/>
      <c r="AK92" s="305"/>
      <c r="AL92" s="305"/>
      <c r="AM92" s="166"/>
      <c r="AN92" s="165"/>
      <c r="AO92" s="166"/>
      <c r="AP92" s="165"/>
      <c r="AQ92" s="166"/>
      <c r="AR92" s="85"/>
      <c r="AS92" s="157"/>
      <c r="AT92" s="165"/>
      <c r="AU92" s="305"/>
      <c r="AV92" s="305"/>
      <c r="AW92" s="305"/>
      <c r="AX92" s="305"/>
      <c r="AY92" s="305"/>
      <c r="AZ92" s="305"/>
      <c r="BA92" s="166"/>
      <c r="BB92" s="165"/>
      <c r="BC92" s="166"/>
      <c r="BD92" s="165"/>
      <c r="BE92" s="166"/>
      <c r="BF92" s="85"/>
      <c r="BG92" s="157"/>
      <c r="BH92" s="165"/>
      <c r="BI92" s="305"/>
      <c r="BJ92" s="305"/>
      <c r="BK92" s="305"/>
      <c r="BL92" s="305"/>
      <c r="BM92" s="305"/>
      <c r="BN92" s="305"/>
      <c r="BO92" s="166"/>
      <c r="BP92" s="165"/>
      <c r="BQ92" s="166"/>
      <c r="BR92" s="165"/>
      <c r="BS92" s="166"/>
      <c r="BT92" s="85"/>
      <c r="BU92" s="157"/>
      <c r="BV92" s="165"/>
      <c r="BW92" s="305"/>
      <c r="BX92" s="305"/>
      <c r="BY92" s="305"/>
      <c r="BZ92" s="305"/>
      <c r="CA92" s="305"/>
      <c r="CB92" s="305"/>
      <c r="CC92" s="166"/>
      <c r="CD92" s="165"/>
      <c r="CE92" s="166"/>
      <c r="CF92" s="165"/>
      <c r="CG92" s="166"/>
      <c r="CH92" s="50"/>
      <c r="CI92" s="168"/>
      <c r="CJ92" s="54"/>
      <c r="CK92" s="134"/>
      <c r="CL92" s="135"/>
      <c r="CM92" s="135"/>
      <c r="CN92" s="135"/>
      <c r="CO92" s="136"/>
    </row>
    <row r="93" spans="1:143" ht="12.95" customHeight="1" x14ac:dyDescent="0.2">
      <c r="A93" s="160" t="s">
        <v>2</v>
      </c>
      <c r="B93" s="93"/>
      <c r="C93" s="140" t="s">
        <v>59</v>
      </c>
      <c r="D93" s="141"/>
      <c r="E93" s="141"/>
      <c r="F93" s="141"/>
      <c r="G93" s="108"/>
      <c r="H93" s="108"/>
      <c r="I93" s="108"/>
      <c r="J93" s="108"/>
      <c r="K93" s="149" t="s">
        <v>81</v>
      </c>
      <c r="L93" s="150"/>
      <c r="M93" s="150"/>
      <c r="N93" s="150"/>
      <c r="O93" s="151"/>
      <c r="P93" s="123"/>
      <c r="Q93" s="149" t="s">
        <v>59</v>
      </c>
      <c r="R93" s="150"/>
      <c r="S93" s="150"/>
      <c r="T93" s="150"/>
      <c r="U93" s="150"/>
      <c r="V93" s="150"/>
      <c r="W93" s="150"/>
      <c r="X93" s="151"/>
      <c r="Y93" s="149" t="s">
        <v>82</v>
      </c>
      <c r="Z93" s="150"/>
      <c r="AA93" s="150"/>
      <c r="AB93" s="150"/>
      <c r="AC93" s="151"/>
      <c r="AD93" s="123"/>
      <c r="AE93" s="149" t="s">
        <v>59</v>
      </c>
      <c r="AF93" s="150"/>
      <c r="AG93" s="150"/>
      <c r="AH93" s="150"/>
      <c r="AI93" s="150"/>
      <c r="AJ93" s="150"/>
      <c r="AK93" s="150"/>
      <c r="AL93" s="151"/>
      <c r="AM93" s="149" t="s">
        <v>83</v>
      </c>
      <c r="AN93" s="150"/>
      <c r="AO93" s="150"/>
      <c r="AP93" s="150"/>
      <c r="AQ93" s="151"/>
      <c r="AR93" s="123"/>
      <c r="AS93" s="149" t="s">
        <v>59</v>
      </c>
      <c r="AT93" s="150"/>
      <c r="AU93" s="150"/>
      <c r="AV93" s="150"/>
      <c r="AW93" s="150"/>
      <c r="AX93" s="150"/>
      <c r="AY93" s="150"/>
      <c r="AZ93" s="151"/>
      <c r="BA93" s="149" t="s">
        <v>84</v>
      </c>
      <c r="BB93" s="150"/>
      <c r="BC93" s="150"/>
      <c r="BD93" s="150"/>
      <c r="BE93" s="151"/>
      <c r="BF93" s="123"/>
      <c r="BG93" s="149" t="s">
        <v>59</v>
      </c>
      <c r="BH93" s="150"/>
      <c r="BI93" s="150"/>
      <c r="BJ93" s="150"/>
      <c r="BK93" s="150"/>
      <c r="BL93" s="150"/>
      <c r="BM93" s="150"/>
      <c r="BN93" s="151"/>
      <c r="BO93" s="149" t="s">
        <v>85</v>
      </c>
      <c r="BP93" s="150"/>
      <c r="BQ93" s="150"/>
      <c r="BR93" s="150"/>
      <c r="BS93" s="151"/>
      <c r="BT93" s="123"/>
      <c r="BU93" s="149" t="s">
        <v>59</v>
      </c>
      <c r="BV93" s="150"/>
      <c r="BW93" s="150"/>
      <c r="BX93" s="150"/>
      <c r="BY93" s="150"/>
      <c r="BZ93" s="150"/>
      <c r="CA93" s="150"/>
      <c r="CB93" s="151"/>
      <c r="CC93" s="149" t="s">
        <v>86</v>
      </c>
      <c r="CD93" s="150"/>
      <c r="CE93" s="150"/>
      <c r="CF93" s="150"/>
      <c r="CG93" s="151"/>
      <c r="CH93" s="65"/>
      <c r="CI93" s="160" t="s">
        <v>2</v>
      </c>
      <c r="CJ93" s="55"/>
      <c r="CK93" s="134"/>
      <c r="CL93" s="135"/>
      <c r="CM93" s="135"/>
      <c r="CN93" s="135"/>
      <c r="CO93" s="136"/>
    </row>
    <row r="94" spans="1:143" ht="12.95" customHeight="1" x14ac:dyDescent="0.2">
      <c r="A94" s="161"/>
      <c r="B94" s="46"/>
      <c r="C94" s="140" t="s">
        <v>60</v>
      </c>
      <c r="D94" s="141"/>
      <c r="E94" s="141"/>
      <c r="F94" s="142"/>
      <c r="G94" s="108"/>
      <c r="H94" s="108"/>
      <c r="I94" s="108"/>
      <c r="J94" s="108"/>
      <c r="K94" s="143" t="s">
        <v>87</v>
      </c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  <c r="AC94" s="144"/>
      <c r="AD94" s="144"/>
      <c r="AE94" s="144"/>
      <c r="AF94" s="144"/>
      <c r="AG94" s="144"/>
      <c r="AH94" s="144"/>
      <c r="AI94" s="144"/>
      <c r="AJ94" s="144"/>
      <c r="AK94" s="144"/>
      <c r="AL94" s="144"/>
      <c r="AM94" s="144"/>
      <c r="AN94" s="144"/>
      <c r="AO94" s="144"/>
      <c r="AP94" s="144"/>
      <c r="AQ94" s="144"/>
      <c r="AR94" s="144"/>
      <c r="AS94" s="144"/>
      <c r="AT94" s="144"/>
      <c r="AU94" s="144"/>
      <c r="AV94" s="144"/>
      <c r="AW94" s="144"/>
      <c r="AX94" s="144"/>
      <c r="AY94" s="144"/>
      <c r="AZ94" s="144"/>
      <c r="BA94" s="144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4"/>
      <c r="BM94" s="144"/>
      <c r="BN94" s="144"/>
      <c r="BO94" s="144"/>
      <c r="BP94" s="144"/>
      <c r="BQ94" s="144"/>
      <c r="BR94" s="144"/>
      <c r="BS94" s="144"/>
      <c r="BT94" s="144"/>
      <c r="BU94" s="144"/>
      <c r="BV94" s="144"/>
      <c r="BW94" s="144"/>
      <c r="BX94" s="144"/>
      <c r="BY94" s="144"/>
      <c r="BZ94" s="144"/>
      <c r="CA94" s="144"/>
      <c r="CB94" s="144"/>
      <c r="CC94" s="144"/>
      <c r="CD94" s="144"/>
      <c r="CE94" s="144"/>
      <c r="CF94" s="144"/>
      <c r="CG94" s="145"/>
      <c r="CH94" s="66"/>
      <c r="CI94" s="161"/>
      <c r="CJ94" s="55"/>
      <c r="CK94" s="134"/>
      <c r="CL94" s="135"/>
      <c r="CM94" s="135"/>
      <c r="CN94" s="135"/>
      <c r="CO94" s="136"/>
    </row>
    <row r="95" spans="1:143" ht="12.95" customHeight="1" x14ac:dyDescent="0.2">
      <c r="A95" s="161"/>
      <c r="B95" s="46"/>
      <c r="C95" s="140" t="s">
        <v>8</v>
      </c>
      <c r="D95" s="141"/>
      <c r="E95" s="141"/>
      <c r="F95" s="142"/>
      <c r="G95" s="108"/>
      <c r="H95" s="108"/>
      <c r="I95" s="108"/>
      <c r="J95" s="108"/>
      <c r="K95" s="143" t="s">
        <v>88</v>
      </c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5"/>
      <c r="CH95" s="66"/>
      <c r="CI95" s="161"/>
      <c r="CJ95" s="55"/>
      <c r="CK95" s="134"/>
      <c r="CL95" s="135"/>
      <c r="CM95" s="135"/>
      <c r="CN95" s="135"/>
      <c r="CO95" s="136"/>
    </row>
    <row r="96" spans="1:143" ht="12.95" customHeight="1" x14ac:dyDescent="0.2">
      <c r="A96" s="162"/>
      <c r="B96" s="47"/>
      <c r="C96" s="146" t="s">
        <v>61</v>
      </c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7"/>
      <c r="AT96" s="147"/>
      <c r="AU96" s="147"/>
      <c r="AV96" s="147"/>
      <c r="AW96" s="147"/>
      <c r="AX96" s="147"/>
      <c r="AY96" s="147"/>
      <c r="AZ96" s="147"/>
      <c r="BA96" s="147"/>
      <c r="BB96" s="147"/>
      <c r="BC96" s="147"/>
      <c r="BD96" s="147"/>
      <c r="BE96" s="147"/>
      <c r="BF96" s="147"/>
      <c r="BG96" s="147"/>
      <c r="BH96" s="147"/>
      <c r="BI96" s="147"/>
      <c r="BJ96" s="147"/>
      <c r="BK96" s="147"/>
      <c r="BL96" s="147"/>
      <c r="BM96" s="147"/>
      <c r="BN96" s="147"/>
      <c r="BO96" s="147"/>
      <c r="BP96" s="147"/>
      <c r="BQ96" s="147"/>
      <c r="BR96" s="147"/>
      <c r="BS96" s="147"/>
      <c r="BT96" s="147"/>
      <c r="BU96" s="147"/>
      <c r="BV96" s="147"/>
      <c r="BW96" s="147"/>
      <c r="BX96" s="147"/>
      <c r="BY96" s="147"/>
      <c r="BZ96" s="147"/>
      <c r="CA96" s="147"/>
      <c r="CB96" s="147"/>
      <c r="CC96" s="147"/>
      <c r="CD96" s="147"/>
      <c r="CE96" s="147"/>
      <c r="CF96" s="147"/>
      <c r="CG96" s="148"/>
      <c r="CH96" s="67"/>
      <c r="CI96" s="162"/>
      <c r="CJ96" s="56"/>
      <c r="CK96" s="137"/>
      <c r="CL96" s="138"/>
      <c r="CM96" s="138"/>
      <c r="CN96" s="138"/>
      <c r="CO96" s="139"/>
    </row>
  </sheetData>
  <sheetProtection formatCells="0" selectLockedCells="1"/>
  <mergeCells count="338">
    <mergeCell ref="A5:A6"/>
    <mergeCell ref="C5:O5"/>
    <mergeCell ref="Q5:AC5"/>
    <mergeCell ref="AE5:AQ5"/>
    <mergeCell ref="AS5:BE5"/>
    <mergeCell ref="BG5:BS5"/>
    <mergeCell ref="A1:CO1"/>
    <mergeCell ref="G2:CM2"/>
    <mergeCell ref="CN2:CO2"/>
    <mergeCell ref="H3:I3"/>
    <mergeCell ref="K3:L3"/>
    <mergeCell ref="M3:N3"/>
    <mergeCell ref="U3:Y3"/>
    <mergeCell ref="Z3:AB3"/>
    <mergeCell ref="AC3:AH3"/>
    <mergeCell ref="C7:D7"/>
    <mergeCell ref="E7:F7"/>
    <mergeCell ref="G7:H7"/>
    <mergeCell ref="I7:J7"/>
    <mergeCell ref="K7:L7"/>
    <mergeCell ref="M7:N7"/>
    <mergeCell ref="BU5:CG5"/>
    <mergeCell ref="CI5:CI6"/>
    <mergeCell ref="CK5:CO6"/>
    <mergeCell ref="C6:O6"/>
    <mergeCell ref="Q6:AC6"/>
    <mergeCell ref="AE6:AQ6"/>
    <mergeCell ref="AS6:BE6"/>
    <mergeCell ref="BG6:BS6"/>
    <mergeCell ref="BU6:CG6"/>
    <mergeCell ref="AE7:AF7"/>
    <mergeCell ref="AG7:AH7"/>
    <mergeCell ref="AI7:AJ7"/>
    <mergeCell ref="AK7:AL7"/>
    <mergeCell ref="AM7:AN7"/>
    <mergeCell ref="AO7:AP7"/>
    <mergeCell ref="Q7:R7"/>
    <mergeCell ref="S7:T7"/>
    <mergeCell ref="U7:V7"/>
    <mergeCell ref="W7:X7"/>
    <mergeCell ref="Y7:Z7"/>
    <mergeCell ref="AA7:AB7"/>
    <mergeCell ref="BM7:BN7"/>
    <mergeCell ref="BO7:BP7"/>
    <mergeCell ref="BQ7:BR7"/>
    <mergeCell ref="AS7:AT7"/>
    <mergeCell ref="AU7:AV7"/>
    <mergeCell ref="AW7:AX7"/>
    <mergeCell ref="AY7:AZ7"/>
    <mergeCell ref="BA7:BB7"/>
    <mergeCell ref="BC7:BD7"/>
    <mergeCell ref="A16:A19"/>
    <mergeCell ref="CI16:CI19"/>
    <mergeCell ref="CK16:CO17"/>
    <mergeCell ref="CK18:CK19"/>
    <mergeCell ref="CL18:CL19"/>
    <mergeCell ref="CM18:CM19"/>
    <mergeCell ref="CN18:CN19"/>
    <mergeCell ref="CO18:CO19"/>
    <mergeCell ref="CK7:CO7"/>
    <mergeCell ref="A8:A11"/>
    <mergeCell ref="CI8:CI11"/>
    <mergeCell ref="CK8:CO11"/>
    <mergeCell ref="A12:A15"/>
    <mergeCell ref="CI12:CI15"/>
    <mergeCell ref="CK12:CO15"/>
    <mergeCell ref="BU7:BV7"/>
    <mergeCell ref="BW7:BX7"/>
    <mergeCell ref="BY7:BZ7"/>
    <mergeCell ref="CA7:CB7"/>
    <mergeCell ref="CC7:CD7"/>
    <mergeCell ref="CE7:CF7"/>
    <mergeCell ref="BG7:BH7"/>
    <mergeCell ref="BI7:BJ7"/>
    <mergeCell ref="BK7:BL7"/>
    <mergeCell ref="CO20:CO21"/>
    <mergeCell ref="CK22:CK23"/>
    <mergeCell ref="CL22:CL23"/>
    <mergeCell ref="CM22:CM23"/>
    <mergeCell ref="CN22:CN23"/>
    <mergeCell ref="CO22:CO23"/>
    <mergeCell ref="A20:A23"/>
    <mergeCell ref="CI20:CI23"/>
    <mergeCell ref="CK20:CK21"/>
    <mergeCell ref="CL20:CL21"/>
    <mergeCell ref="CM20:CM21"/>
    <mergeCell ref="CN20:CN21"/>
    <mergeCell ref="CO24:CO25"/>
    <mergeCell ref="CK26:CK27"/>
    <mergeCell ref="CL26:CL27"/>
    <mergeCell ref="CM26:CM27"/>
    <mergeCell ref="CN26:CN27"/>
    <mergeCell ref="CO26:CO27"/>
    <mergeCell ref="A24:A27"/>
    <mergeCell ref="CI24:CI27"/>
    <mergeCell ref="CK24:CK25"/>
    <mergeCell ref="CL24:CL25"/>
    <mergeCell ref="CM24:CM25"/>
    <mergeCell ref="CN24:CN25"/>
    <mergeCell ref="CO28:CO29"/>
    <mergeCell ref="CK30:CK31"/>
    <mergeCell ref="CL30:CL31"/>
    <mergeCell ref="CM30:CM31"/>
    <mergeCell ref="CN30:CN31"/>
    <mergeCell ref="CO30:CO31"/>
    <mergeCell ref="A28:A31"/>
    <mergeCell ref="CI28:CI31"/>
    <mergeCell ref="CK28:CK29"/>
    <mergeCell ref="CL28:CL29"/>
    <mergeCell ref="CM28:CM29"/>
    <mergeCell ref="CN28:CN29"/>
    <mergeCell ref="CO32:CO33"/>
    <mergeCell ref="CK34:CK35"/>
    <mergeCell ref="CL34:CL35"/>
    <mergeCell ref="CM34:CM35"/>
    <mergeCell ref="CN34:CN35"/>
    <mergeCell ref="CO34:CO35"/>
    <mergeCell ref="A32:A35"/>
    <mergeCell ref="CI32:CI35"/>
    <mergeCell ref="CK32:CK33"/>
    <mergeCell ref="CL32:CL33"/>
    <mergeCell ref="CM32:CM33"/>
    <mergeCell ref="CN32:CN33"/>
    <mergeCell ref="A40:A43"/>
    <mergeCell ref="CI40:CI43"/>
    <mergeCell ref="CK40:CK41"/>
    <mergeCell ref="CL40:CL41"/>
    <mergeCell ref="CM40:CM41"/>
    <mergeCell ref="CN40:CN41"/>
    <mergeCell ref="CO36:CO37"/>
    <mergeCell ref="CK38:CK39"/>
    <mergeCell ref="CL38:CL39"/>
    <mergeCell ref="CM38:CM39"/>
    <mergeCell ref="CN38:CN39"/>
    <mergeCell ref="CO38:CO39"/>
    <mergeCell ref="A36:A39"/>
    <mergeCell ref="CI36:CI39"/>
    <mergeCell ref="CK36:CK37"/>
    <mergeCell ref="CL36:CL37"/>
    <mergeCell ref="CM36:CM37"/>
    <mergeCell ref="CN36:CN37"/>
    <mergeCell ref="CO40:CO41"/>
    <mergeCell ref="BU41:CG42"/>
    <mergeCell ref="CK42:CK43"/>
    <mergeCell ref="CL42:CL43"/>
    <mergeCell ref="CM42:CM43"/>
    <mergeCell ref="CN42:CN43"/>
    <mergeCell ref="CO42:CO43"/>
    <mergeCell ref="BU43:CG44"/>
    <mergeCell ref="CO44:CO45"/>
    <mergeCell ref="CO46:CO47"/>
    <mergeCell ref="A48:A51"/>
    <mergeCell ref="CI48:CI51"/>
    <mergeCell ref="CK48:CK49"/>
    <mergeCell ref="CL48:CL49"/>
    <mergeCell ref="CM48:CM49"/>
    <mergeCell ref="CN48:CN49"/>
    <mergeCell ref="CO48:CO49"/>
    <mergeCell ref="CK50:CK51"/>
    <mergeCell ref="CL50:CL51"/>
    <mergeCell ref="A44:A47"/>
    <mergeCell ref="CI44:CI47"/>
    <mergeCell ref="CK44:CK45"/>
    <mergeCell ref="CL44:CL45"/>
    <mergeCell ref="CM44:CM45"/>
    <mergeCell ref="CN44:CN45"/>
    <mergeCell ref="CK46:CK47"/>
    <mergeCell ref="CL46:CL47"/>
    <mergeCell ref="CM46:CM47"/>
    <mergeCell ref="CN46:CN47"/>
    <mergeCell ref="CM50:CM51"/>
    <mergeCell ref="CN50:CN51"/>
    <mergeCell ref="CO50:CO51"/>
    <mergeCell ref="A52:A55"/>
    <mergeCell ref="CI52:CI55"/>
    <mergeCell ref="CK53:CO54"/>
    <mergeCell ref="CK55:CO56"/>
    <mergeCell ref="A56:A59"/>
    <mergeCell ref="CI56:CI59"/>
    <mergeCell ref="CK57:CO58"/>
    <mergeCell ref="CK59:CO60"/>
    <mergeCell ref="A60:A63"/>
    <mergeCell ref="CI60:CI63"/>
    <mergeCell ref="CK61:CO62"/>
    <mergeCell ref="CK63:CO64"/>
    <mergeCell ref="A64:A67"/>
    <mergeCell ref="CI64:CI67"/>
    <mergeCell ref="CK65:CO66"/>
    <mergeCell ref="CK67:CO68"/>
    <mergeCell ref="A68:A71"/>
    <mergeCell ref="CI68:CI71"/>
    <mergeCell ref="CK69:CO70"/>
    <mergeCell ref="CK71:CO72"/>
    <mergeCell ref="A72:A75"/>
    <mergeCell ref="CI72:CI75"/>
    <mergeCell ref="CK73:CO74"/>
    <mergeCell ref="CK75:CO76"/>
    <mergeCell ref="A76:A79"/>
    <mergeCell ref="CI76:CI79"/>
    <mergeCell ref="CK77:CO78"/>
    <mergeCell ref="A80:A83"/>
    <mergeCell ref="CI80:CI83"/>
    <mergeCell ref="D84:K84"/>
    <mergeCell ref="L84:M84"/>
    <mergeCell ref="N84:O84"/>
    <mergeCell ref="R84:Y84"/>
    <mergeCell ref="Z84:AA84"/>
    <mergeCell ref="AB84:AC84"/>
    <mergeCell ref="BH84:BO84"/>
    <mergeCell ref="BP84:BQ84"/>
    <mergeCell ref="BR84:BS84"/>
    <mergeCell ref="BV84:CC84"/>
    <mergeCell ref="CD84:CE84"/>
    <mergeCell ref="CF84:CG84"/>
    <mergeCell ref="AF84:AM84"/>
    <mergeCell ref="AN84:AO84"/>
    <mergeCell ref="AP84:AQ84"/>
    <mergeCell ref="AT84:BA84"/>
    <mergeCell ref="BB84:BC84"/>
    <mergeCell ref="BD84:BE84"/>
    <mergeCell ref="AB85:AC86"/>
    <mergeCell ref="AE85:AE86"/>
    <mergeCell ref="AF85:AM86"/>
    <mergeCell ref="AN85:AO86"/>
    <mergeCell ref="A85:A92"/>
    <mergeCell ref="C85:C86"/>
    <mergeCell ref="D85:K86"/>
    <mergeCell ref="L85:M86"/>
    <mergeCell ref="N85:O86"/>
    <mergeCell ref="Q85:Q86"/>
    <mergeCell ref="C91:C92"/>
    <mergeCell ref="D91:K92"/>
    <mergeCell ref="L91:M92"/>
    <mergeCell ref="N91:O92"/>
    <mergeCell ref="AS89:AS90"/>
    <mergeCell ref="AT89:BA90"/>
    <mergeCell ref="BB89:BC90"/>
    <mergeCell ref="BD89:BE90"/>
    <mergeCell ref="Q91:Q92"/>
    <mergeCell ref="CF85:CG86"/>
    <mergeCell ref="CI85:CI92"/>
    <mergeCell ref="C87:C88"/>
    <mergeCell ref="D87:K88"/>
    <mergeCell ref="L87:M88"/>
    <mergeCell ref="N87:O88"/>
    <mergeCell ref="Q87:Q88"/>
    <mergeCell ref="R87:Y88"/>
    <mergeCell ref="Z87:AA88"/>
    <mergeCell ref="AB87:AC88"/>
    <mergeCell ref="BH85:BO86"/>
    <mergeCell ref="BP85:BQ86"/>
    <mergeCell ref="BR85:BS86"/>
    <mergeCell ref="BU85:BU86"/>
    <mergeCell ref="BV85:CC86"/>
    <mergeCell ref="CD85:CE86"/>
    <mergeCell ref="AP85:AQ86"/>
    <mergeCell ref="AS85:AS86"/>
    <mergeCell ref="AT85:BA86"/>
    <mergeCell ref="BB85:BC86"/>
    <mergeCell ref="BD85:BE86"/>
    <mergeCell ref="BG85:BG86"/>
    <mergeCell ref="R85:Y86"/>
    <mergeCell ref="Z85:AA86"/>
    <mergeCell ref="BU87:BU88"/>
    <mergeCell ref="BV87:CC88"/>
    <mergeCell ref="CD87:CE88"/>
    <mergeCell ref="CF87:CG88"/>
    <mergeCell ref="C89:C90"/>
    <mergeCell ref="D89:K90"/>
    <mergeCell ref="L89:M90"/>
    <mergeCell ref="N89:O90"/>
    <mergeCell ref="Q89:Q90"/>
    <mergeCell ref="R89:Y90"/>
    <mergeCell ref="BB87:BC88"/>
    <mergeCell ref="BD87:BE88"/>
    <mergeCell ref="BG87:BG88"/>
    <mergeCell ref="BH87:BO88"/>
    <mergeCell ref="BP87:BQ88"/>
    <mergeCell ref="BR87:BS88"/>
    <mergeCell ref="AE87:AE88"/>
    <mergeCell ref="AF87:AM88"/>
    <mergeCell ref="AN87:AO88"/>
    <mergeCell ref="AP87:AQ88"/>
    <mergeCell ref="AS87:AS88"/>
    <mergeCell ref="AT87:BA88"/>
    <mergeCell ref="CD89:CE90"/>
    <mergeCell ref="CF89:CG90"/>
    <mergeCell ref="BH89:BO90"/>
    <mergeCell ref="Z89:AA90"/>
    <mergeCell ref="AB89:AC90"/>
    <mergeCell ref="AE89:AE90"/>
    <mergeCell ref="AF89:AM90"/>
    <mergeCell ref="AN89:AO90"/>
    <mergeCell ref="AP89:AQ90"/>
    <mergeCell ref="R91:Y92"/>
    <mergeCell ref="Z91:AA92"/>
    <mergeCell ref="AB91:AC92"/>
    <mergeCell ref="AE91:AE92"/>
    <mergeCell ref="AF91:AM92"/>
    <mergeCell ref="AT91:BA92"/>
    <mergeCell ref="BB91:BC92"/>
    <mergeCell ref="BD91:BE92"/>
    <mergeCell ref="A93:A96"/>
    <mergeCell ref="C93:F93"/>
    <mergeCell ref="K93:O93"/>
    <mergeCell ref="Q93:X93"/>
    <mergeCell ref="Y93:AC93"/>
    <mergeCell ref="AE93:AL93"/>
    <mergeCell ref="AM93:AQ93"/>
    <mergeCell ref="AS93:AZ93"/>
    <mergeCell ref="BG91:BG92"/>
    <mergeCell ref="AN91:AO92"/>
    <mergeCell ref="AP91:AQ92"/>
    <mergeCell ref="AS91:AS92"/>
    <mergeCell ref="CK79:CO96"/>
    <mergeCell ref="C94:F94"/>
    <mergeCell ref="K94:CG94"/>
    <mergeCell ref="C95:F95"/>
    <mergeCell ref="K95:CG95"/>
    <mergeCell ref="C96:CG96"/>
    <mergeCell ref="BA93:BE93"/>
    <mergeCell ref="BG93:BN93"/>
    <mergeCell ref="BO93:BS93"/>
    <mergeCell ref="BU93:CB93"/>
    <mergeCell ref="CC93:CG93"/>
    <mergeCell ref="BP89:BQ90"/>
    <mergeCell ref="BR89:BS90"/>
    <mergeCell ref="BU89:BU90"/>
    <mergeCell ref="BV89:CC90"/>
    <mergeCell ref="CI93:CI96"/>
    <mergeCell ref="CD91:CE92"/>
    <mergeCell ref="CF91:CG92"/>
    <mergeCell ref="BH91:BO92"/>
    <mergeCell ref="BP91:BQ92"/>
    <mergeCell ref="BR91:BS92"/>
    <mergeCell ref="BU91:BU92"/>
    <mergeCell ref="BV91:CC92"/>
    <mergeCell ref="BG89:BG90"/>
  </mergeCells>
  <printOptions horizontalCentered="1" verticalCentered="1"/>
  <pageMargins left="0.27559055118110237" right="0.27559055118110237" top="0.31496062992125984" bottom="0.31496062992125984" header="0.31496062992125984" footer="0.31496062992125984"/>
  <pageSetup paperSize="9" scale="3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996E9DA441D24EA7F3DA57730DEEBF" ma:contentTypeVersion="2" ma:contentTypeDescription="Crée un document." ma:contentTypeScope="" ma:versionID="86cae7322b00510a59f430fb370bdf5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b98bec9e5b1bd220ae0f35de47e466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77111C-343E-4FA7-8D7D-84270F230B7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733289-F85E-49BD-8606-60F99184E3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D6C57C-7721-43E8-ADA7-6F798FFC49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KVK_56_3</vt:lpstr>
      <vt:lpstr>W1_56_3</vt:lpstr>
      <vt:lpstr>W2_56_3</vt:lpstr>
      <vt:lpstr>W3_56_3</vt:lpstr>
      <vt:lpstr>Bausteine</vt:lpstr>
      <vt:lpstr>Bausteine!Print_Area</vt:lpstr>
      <vt:lpstr>KVK_56_3!Print_Area</vt:lpstr>
      <vt:lpstr>W1_56_3!Print_Area</vt:lpstr>
      <vt:lpstr>W2_56_3!Print_Area</vt:lpstr>
      <vt:lpstr>W3_56_3!Print_Area</vt:lpstr>
    </vt:vector>
  </TitlesOfParts>
  <Company>Mirko Montemari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Picassos CR 2009</dc:title>
  <dc:creator>Dominik Kägi</dc:creator>
  <cp:lastModifiedBy>Halter Andri MIL</cp:lastModifiedBy>
  <cp:lastPrinted>2020-03-01T13:17:42Z</cp:lastPrinted>
  <dcterms:created xsi:type="dcterms:W3CDTF">2002-11-15T17:24:34Z</dcterms:created>
  <dcterms:modified xsi:type="dcterms:W3CDTF">2020-03-25T07:49:53Z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96 96 1680 1050</vt:lpwstr>
  </property>
  <property fmtid="{D5CDD505-2E9C-101B-9397-08002B2CF9AE}" pid="3" name="ContentTypeId">
    <vt:lpwstr>0x0101003C996E9DA441D24EA7F3DA57730DEEBF</vt:lpwstr>
  </property>
  <property fmtid="{D5CDD505-2E9C-101B-9397-08002B2CF9AE}" pid="4" name="Order">
    <vt:r8>4051000</vt:r8>
  </property>
  <property fmtid="{D5CDD505-2E9C-101B-9397-08002B2CF9AE}" pid="5" name="xd_ProgID">
    <vt:lpwstr/>
  </property>
  <property fmtid="{D5CDD505-2E9C-101B-9397-08002B2CF9AE}" pid="6" name="TemplateUrl">
    <vt:lpwstr/>
  </property>
</Properties>
</file>